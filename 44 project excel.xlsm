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44 project\"/>
    </mc:Choice>
  </mc:AlternateContent>
  <bookViews>
    <workbookView xWindow="-120" yWindow="-120" windowWidth="29040" windowHeight="15720" tabRatio="889"/>
  </bookViews>
  <sheets>
    <sheet name="Data" sheetId="1" r:id="rId1"/>
    <sheet name="QUESTIONS" sheetId="5" r:id="rId2"/>
    <sheet name="Q1 ANS" sheetId="6" r:id="rId3"/>
    <sheet name="Q2 ANS" sheetId="7" r:id="rId4"/>
    <sheet name="Q3 ANS" sheetId="9" r:id="rId5"/>
    <sheet name="Q4 ANS" sheetId="10" r:id="rId6"/>
    <sheet name="Q5 ANS" sheetId="11" r:id="rId7"/>
    <sheet name="Q6 ANS" sheetId="16" r:id="rId8"/>
    <sheet name="Q7 ANS" sheetId="17" r:id="rId9"/>
    <sheet name="Q8 ANS" sheetId="18" r:id="rId10"/>
    <sheet name="Q9 ANS" sheetId="19" r:id="rId11"/>
    <sheet name="Q10 ANS" sheetId="20" r:id="rId12"/>
  </sheets>
  <calcPr calcId="152511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9" l="1"/>
  <c r="M4" i="6"/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2" i="7"/>
</calcChain>
</file>

<file path=xl/sharedStrings.xml><?xml version="1.0" encoding="utf-8"?>
<sst xmlns="http://schemas.openxmlformats.org/spreadsheetml/2006/main" count="948" uniqueCount="47">
  <si>
    <t>Company</t>
  </si>
  <si>
    <t>Period</t>
  </si>
  <si>
    <t>Revenue</t>
  </si>
  <si>
    <t>Net Income</t>
  </si>
  <si>
    <t>Liabilities</t>
  </si>
  <si>
    <t>Assets</t>
  </si>
  <si>
    <t>Equity</t>
  </si>
  <si>
    <t>ROA (%)</t>
  </si>
  <si>
    <t>ROE (%)</t>
  </si>
  <si>
    <t>Debt to Equity</t>
  </si>
  <si>
    <t>Volkswagen AG</t>
  </si>
  <si>
    <t>Siemens AG</t>
  </si>
  <si>
    <t>Allianz SE</t>
  </si>
  <si>
    <t>BMW AG</t>
  </si>
  <si>
    <t>BASF SE</t>
  </si>
  <si>
    <t>Deutsche Telekom AG</t>
  </si>
  <si>
    <t>Daimler AG</t>
  </si>
  <si>
    <t>SAP SE</t>
  </si>
  <si>
    <t>Bayer AG</t>
  </si>
  <si>
    <t>Deutsche Bank AG</t>
  </si>
  <si>
    <t>Porsche AG</t>
  </si>
  <si>
    <t>Merck KGaA</t>
  </si>
  <si>
    <t>Column Labels</t>
  </si>
  <si>
    <t>Questions</t>
  </si>
  <si>
    <t>Sl no.</t>
  </si>
  <si>
    <t>What is the average revenue of Volkswagen for 2023?</t>
  </si>
  <si>
    <t>Show the percentage of revenue to net income for 'Deutsche Telekom AG' and  'SAP SE' for 2017 to 2024.</t>
  </si>
  <si>
    <t>Graphically show the 'Merck KGaA' ROA trend for 2017 to 2024</t>
  </si>
  <si>
    <t>average revenue of Volkswagen for 2023 =</t>
  </si>
  <si>
    <t>percentage of revenue</t>
  </si>
  <si>
    <t>Row Labels</t>
  </si>
  <si>
    <t>Sum of ROA (%)</t>
  </si>
  <si>
    <t>Sum of Net Income</t>
  </si>
  <si>
    <t>Which company have the highest asset in last quarter of 2024?</t>
  </si>
  <si>
    <t>Sum of Assets</t>
  </si>
  <si>
    <t>Sum of Revenue</t>
  </si>
  <si>
    <t>what is the revenue of all company for 2023 and 2024</t>
  </si>
  <si>
    <t>compare net income between BMW and Porsche for 2017 to 2024</t>
  </si>
  <si>
    <t>what is the average ROE for 2021</t>
  </si>
  <si>
    <t>Average of ROE (%)</t>
  </si>
  <si>
    <t>show the market cap of all company in 2024</t>
  </si>
  <si>
    <t>Find the correlation between 'Debt to equity' and 'net income' for Volkswagen AG, BMW AG, Porsche AG.</t>
  </si>
  <si>
    <t>Grand Total</t>
  </si>
  <si>
    <t>Sum of Debt to Equity</t>
  </si>
  <si>
    <t>(Multiple Items)</t>
  </si>
  <si>
    <t>Correlation=</t>
  </si>
  <si>
    <t>calculate the Deutsche group total net income for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</si>
</sst>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pivotButton="1"/>
    <xf numFmtId="10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" fontId="0" fillId="0" borderId="0" xfId="0" applyNumberFormat="1"/>
    <xf numFmtId="2" fontId="0" fillId="0" borderId="0" xfId="0" applyNumberFormat="1"/>
  </cellXfs>
  <cellStyles count="2">
    <cellStyle name="Normal" xfId="0" builtinId="0"/>
    <cellStyle name="Percent" xfId="1" builtinId="5"/>
  </cellStyles>
  <dxfs count="4">
    <dxf>
      <numFmt numFmtId="0" formatCode="General"/>
    </dxf>
    <dxf>
      <numFmt numFmtId="2" formatCode="0.00"/>
    </dxf>
    <dxf>
      <alignment horizontal="right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[44 project excel.xlsm]Q3 ANS!PivotTable1</c:name>
    <c:fmtId val="3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'Q3 ANS'!$B$3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'Q3 ANS'!$A$4:$A$35</c:f>
              <c:strCache>
                <c:ptCount val="32"/>
                <c:pt idx="0">
                  <c:v>3/31/2017</c:v>
                </c:pt>
                <c:pt idx="1">
                  <c:v>6/30/2017</c:v>
                </c:pt>
                <c:pt idx="2">
                  <c:v>9/30/2017</c:v>
                </c:pt>
                <c:pt idx="3">
                  <c:v>12/31/2017</c:v>
                </c:pt>
                <c:pt idx="4">
                  <c:v>3/31/2018</c:v>
                </c:pt>
                <c:pt idx="5">
                  <c:v>6/30/2018</c:v>
                </c:pt>
                <c:pt idx="6">
                  <c:v>9/30/2018</c:v>
                </c:pt>
                <c:pt idx="7">
                  <c:v>12/31/2018</c:v>
                </c:pt>
                <c:pt idx="8">
                  <c:v>3/31/2019</c:v>
                </c:pt>
                <c:pt idx="9">
                  <c:v>6/30/2019</c:v>
                </c:pt>
                <c:pt idx="10">
                  <c:v>9/30/2019</c:v>
                </c:pt>
                <c:pt idx="11">
                  <c:v>12/31/2019</c:v>
                </c:pt>
                <c:pt idx="12">
                  <c:v>3/31/2020</c:v>
                </c:pt>
                <c:pt idx="13">
                  <c:v>6/30/2020</c:v>
                </c:pt>
                <c:pt idx="14">
                  <c:v>9/30/2020</c:v>
                </c:pt>
                <c:pt idx="15">
                  <c:v>12/31/2020</c:v>
                </c:pt>
                <c:pt idx="16">
                  <c:v>3/31/2021</c:v>
                </c:pt>
                <c:pt idx="17">
                  <c:v>6/30/2021</c:v>
                </c:pt>
                <c:pt idx="18">
                  <c:v>9/30/2021</c:v>
                </c:pt>
                <c:pt idx="19">
                  <c:v>12/31/2021</c:v>
                </c:pt>
                <c:pt idx="20">
                  <c:v>3/31/2022</c:v>
                </c:pt>
                <c:pt idx="21">
                  <c:v>6/30/2022</c:v>
                </c:pt>
                <c:pt idx="22">
                  <c:v>9/30/2022</c:v>
                </c:pt>
                <c:pt idx="23">
                  <c:v>12/31/2022</c:v>
                </c:pt>
                <c:pt idx="24">
                  <c:v>3/31/2023</c:v>
                </c:pt>
                <c:pt idx="25">
                  <c:v>6/30/2023</c:v>
                </c:pt>
                <c:pt idx="26">
                  <c:v>9/30/2023</c:v>
                </c:pt>
                <c:pt idx="27">
                  <c:v>12/31/2023</c:v>
                </c:pt>
                <c:pt idx="28">
                  <c:v>3/31/2024</c:v>
                </c:pt>
                <c:pt idx="29">
                  <c:v>6/30/2024</c:v>
                </c:pt>
                <c:pt idx="30">
                  <c:v>9/30/2024</c:v>
                </c:pt>
                <c:pt idx="31">
                  <c:v>12/31/2024</c:v>
                </c:pt>
              </c:strCache>
            </c:strRef>
          </c:cat>
          <c:val>
            <c:numRef>
              <c:f>'Q3 ANS'!$B$4:$B$35</c:f>
              <c:numCache>
                <c:formatCode>General</c:formatCode>
                <c:ptCount val="32"/>
                <c:pt idx="0">
                  <c:v>0.77985399700000002</c:v>
                </c:pt>
                <c:pt idx="1">
                  <c:v>2.0663901619999998</c:v>
                </c:pt>
                <c:pt idx="2">
                  <c:v>3.2261566340000001</c:v>
                </c:pt>
                <c:pt idx="3">
                  <c:v>1.5673595259999999</c:v>
                </c:pt>
                <c:pt idx="4">
                  <c:v>0.97794899999999996</c:v>
                </c:pt>
                <c:pt idx="5">
                  <c:v>0.58343265499999997</c:v>
                </c:pt>
                <c:pt idx="6">
                  <c:v>1.7019213019999999</c:v>
                </c:pt>
                <c:pt idx="7">
                  <c:v>1.635037283</c:v>
                </c:pt>
                <c:pt idx="8">
                  <c:v>6.0559037069999997</c:v>
                </c:pt>
                <c:pt idx="9">
                  <c:v>4.1703821239999996</c:v>
                </c:pt>
                <c:pt idx="10">
                  <c:v>2.9311472049999998</c:v>
                </c:pt>
                <c:pt idx="11">
                  <c:v>2.0236197929999999</c:v>
                </c:pt>
                <c:pt idx="12">
                  <c:v>1.241932926</c:v>
                </c:pt>
                <c:pt idx="13">
                  <c:v>2.562288251</c:v>
                </c:pt>
                <c:pt idx="14">
                  <c:v>0.89621569700000003</c:v>
                </c:pt>
                <c:pt idx="15">
                  <c:v>1.214285573</c:v>
                </c:pt>
                <c:pt idx="16">
                  <c:v>2.7223235180000001</c:v>
                </c:pt>
                <c:pt idx="17">
                  <c:v>2.723952986</c:v>
                </c:pt>
                <c:pt idx="18">
                  <c:v>2.5416193919999999</c:v>
                </c:pt>
                <c:pt idx="19">
                  <c:v>3.9702956129999998</c:v>
                </c:pt>
                <c:pt idx="20">
                  <c:v>0.64658501700000004</c:v>
                </c:pt>
                <c:pt idx="21">
                  <c:v>2.7386036109999998</c:v>
                </c:pt>
                <c:pt idx="22">
                  <c:v>1.31329769</c:v>
                </c:pt>
                <c:pt idx="23">
                  <c:v>0.60471440499999995</c:v>
                </c:pt>
                <c:pt idx="24">
                  <c:v>3.4550897040000002</c:v>
                </c:pt>
                <c:pt idx="25">
                  <c:v>1.5381317969999999</c:v>
                </c:pt>
                <c:pt idx="26">
                  <c:v>1.6931602830000001</c:v>
                </c:pt>
                <c:pt idx="27">
                  <c:v>3.413829051</c:v>
                </c:pt>
                <c:pt idx="28">
                  <c:v>3.617415823</c:v>
                </c:pt>
                <c:pt idx="29">
                  <c:v>4.6254172379999998</c:v>
                </c:pt>
                <c:pt idx="30">
                  <c:v>2.8666900360000001</c:v>
                </c:pt>
                <c:pt idx="31">
                  <c:v>3.6934018549999998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B11-47C5-A340-2708A8925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116456"/>
        <c:axId val="244722264"/>
      </c:lineChart>
      <c:catAx>
        <c:axId val="2451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722264"/>
        <c:crosses val="autoZero"/>
        <c:auto val="1"/>
        <c:lblAlgn val="ctr"/>
        <c:lblOffset val="100"/>
        <c:noMultiLvlLbl val="0"/>
      </c:catAx>
      <c:valAx>
        <c:axId val="24472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1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accent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[44 project excel.xlsm]Q8 ANS!PivotTable7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</a:t>
            </a:r>
            <a:r>
              <a:rPr lang="en-US" baseline="0"/>
              <a:t> cap</a:t>
            </a:r>
            <a:endParaRPr lang="en-US"/>
          </a:p>
        </c:rich>
      </c:tx>
      <c:layout>
        <c:manualLayout>
          <c:xMode val="edge"/>
          <c:yMode val="edge"/>
          <c:x val="0.44846195061168226"/>
          <c:y val="3.393054129103427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6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7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8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9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0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1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12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984901884661289E-2"/>
          <c:y val="0.2491286850013314"/>
          <c:w val="0.9187877237393125"/>
          <c:h val="0.69617558674730862"/>
        </c:manualLayout>
      </c:layout>
      <c:pie3DChart>
        <c:varyColors val="1"/>
        <c:ser>
          <c:idx val="0"/>
          <c:order val="0"/>
          <c:tx>
            <c:strRef>
              <c:f>'Q8 ANS'!$B$3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42F-4D64-AE32-6A06BF1943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42F-4D64-AE32-6A06BF1943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42F-4D64-AE32-6A06BF1943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42F-4D64-AE32-6A06BF1943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42F-4D64-AE32-6A06BF1943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42F-4D64-AE32-6A06BF1943C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42F-4D64-AE32-6A06BF1943C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242F-4D64-AE32-6A06BF1943C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242F-4D64-AE32-6A06BF1943C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242F-4D64-AE32-6A06BF1943C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242F-4D64-AE32-6A06BF1943C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242F-4D64-AE32-6A06BF1943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'Q8 ANS'!$A$4:$A$15</c:f>
              <c:strCache>
                <c:ptCount val="12"/>
                <c:pt idx="0">
                  <c:v>Allianz SE</c:v>
                </c:pt>
                <c:pt idx="1">
                  <c:v>BASF SE</c:v>
                </c:pt>
                <c:pt idx="2">
                  <c:v>Bayer AG</c:v>
                </c:pt>
                <c:pt idx="3">
                  <c:v>BMW AG</c:v>
                </c:pt>
                <c:pt idx="4">
                  <c:v>Daimler AG</c:v>
                </c:pt>
                <c:pt idx="5">
                  <c:v>Deutsche Bank AG</c:v>
                </c:pt>
                <c:pt idx="6">
                  <c:v>Deutsche Telekom AG</c:v>
                </c:pt>
                <c:pt idx="7">
                  <c:v>Merck KGaA</c:v>
                </c:pt>
                <c:pt idx="8">
                  <c:v>Porsche AG</c:v>
                </c:pt>
                <c:pt idx="9">
                  <c:v>SAP SE</c:v>
                </c:pt>
                <c:pt idx="10">
                  <c:v>Siemens AG</c:v>
                </c:pt>
                <c:pt idx="11">
                  <c:v>Volkswagen AG</c:v>
                </c:pt>
              </c:strCache>
            </c:strRef>
          </c:cat>
          <c:val>
            <c:numRef>
              <c:f>'Q8 ANS'!$B$4:$B$15</c:f>
              <c:numCache>
                <c:formatCode>General</c:formatCode>
                <c:ptCount val="12"/>
                <c:pt idx="0">
                  <c:v>55973722256</c:v>
                </c:pt>
                <c:pt idx="1">
                  <c:v>62478340119</c:v>
                </c:pt>
                <c:pt idx="2">
                  <c:v>32624013419</c:v>
                </c:pt>
                <c:pt idx="3">
                  <c:v>57918366766</c:v>
                </c:pt>
                <c:pt idx="4">
                  <c:v>58631917149</c:v>
                </c:pt>
                <c:pt idx="5">
                  <c:v>67125687921</c:v>
                </c:pt>
                <c:pt idx="6">
                  <c:v>57972391873</c:v>
                </c:pt>
                <c:pt idx="7">
                  <c:v>69331938281</c:v>
                </c:pt>
                <c:pt idx="8">
                  <c:v>58050114174</c:v>
                </c:pt>
                <c:pt idx="9">
                  <c:v>49074660307</c:v>
                </c:pt>
                <c:pt idx="10">
                  <c:v>44947480163</c:v>
                </c:pt>
                <c:pt idx="11">
                  <c:v>44324281368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8-242F-4D64-AE32-6A06BF1943C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9525</xdr:rowOff>
        </xdr:from>
        <xdr:to>
          <xdr:col>15</xdr:col>
          <xdr:colOff>38100</xdr:colOff>
          <xdr:row>4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204786</xdr:colOff>
      <xdr:row>5</xdr:row>
      <xdr:rowOff>85725</xdr:rowOff>
    </xdr:from>
    <xdr:to>
      <xdr:col>11</xdr:col>
      <xdr:colOff>657225</xdr:colOff>
      <xdr:row>23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9525</xdr:rowOff>
    </xdr:from>
    <xdr:to>
      <xdr:col>13</xdr:col>
      <xdr:colOff>342899</xdr:colOff>
      <xdr:row>18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SAD" refreshedDate="45627.591018634259" createdVersion="5" refreshedVersion="5" minRefreshableVersion="3" recordCount="384">
  <cacheSource type="worksheet">
    <worksheetSource ref="A1:J385" sheet="Data"/>
  </cacheSource>
  <cacheFields count="10">
    <cacheField name="Company" numFmtId="0">
      <sharedItems count="12">
        <s v="Volkswagen AG"/>
        <s v="Siemens AG"/>
        <s v="Allianz SE"/>
        <s v="BMW AG"/>
        <s v="BASF SE"/>
        <s v="Deutsche Telekom AG"/>
        <s v="Daimler AG"/>
        <s v="SAP SE"/>
        <s v="Bayer AG"/>
        <s v="Deutsche Bank AG"/>
        <s v="Porsche AG"/>
        <s v="Merck KGaA"/>
      </sharedItems>
    </cacheField>
    <cacheField name="Period" numFmtId="14">
      <sharedItems containsSemiMixedTypes="0" containsNonDate="0" containsDate="1" containsString="0" minDate="2017-03-31T00:00:00" maxDate="2025-01-01T00:00:00" count="32">
        <d v="2017-03-31T00:00:00"/>
        <d v="2017-06-30T00:00:00"/>
        <d v="2017-09-30T00:00:00"/>
        <d v="2017-12-31T00:00:00"/>
        <d v="2018-03-31T00:00:00"/>
        <d v="2018-06-30T00:00:00"/>
        <d v="2018-09-30T00:00:00"/>
        <d v="2018-12-31T00:00:00"/>
        <d v="2019-03-31T00:00:00"/>
        <d v="2019-06-30T00:00:00"/>
        <d v="2019-09-30T00:00:00"/>
        <d v="2019-12-31T00:00:00"/>
        <d v="2020-03-31T00:00:00"/>
        <d v="2020-06-30T00:00:00"/>
        <d v="2020-09-30T00:00:00"/>
        <d v="2020-12-31T00:00:00"/>
        <d v="2021-03-31T00:00:00"/>
        <d v="2021-06-30T00:00:00"/>
        <d v="2021-09-30T00:00:00"/>
        <d v="2021-12-31T00:00:00"/>
        <d v="2022-03-31T00:00:00"/>
        <d v="2022-06-30T00:00:00"/>
        <d v="2022-09-30T00:00:00"/>
        <d v="2022-12-31T00:00:00"/>
        <d v="2023-03-31T00:00:00"/>
        <d v="2023-06-30T00:00:00"/>
        <d v="2023-09-30T00:00:00"/>
        <d v="2023-12-31T00:00:00"/>
        <d v="2024-03-31T00:00:00"/>
        <d v="2024-06-30T00:00:00"/>
        <d v="2024-09-30T00:00:00"/>
        <d v="2024-12-31T00:00:00"/>
      </sharedItems>
    </cacheField>
    <cacheField name="Revenue" numFmtId="0">
      <sharedItems containsSemiMixedTypes="0" containsString="0" containsNumber="1" containsInteger="1" minValue="5149849693" maxValue="19909637251" count="384">
        <n v="19695988685"/>
        <n v="7201825633"/>
        <n v="15706422457"/>
        <n v="9750496618"/>
        <n v="15989256775"/>
        <n v="6601886883"/>
        <n v="11494666314"/>
        <n v="15132692627"/>
        <n v="14907937768"/>
        <n v="8797334817"/>
        <n v="10142417014"/>
        <n v="15448794996"/>
        <n v="15933280023"/>
        <n v="7895384436"/>
        <n v="12436929028"/>
        <n v="6074909806"/>
        <n v="19710269369"/>
        <n v="12858026662"/>
        <n v="10294096366"/>
        <n v="11544833810"/>
        <n v="17383281301"/>
        <n v="12314464977"/>
        <n v="10260879440"/>
        <n v="11168902003"/>
        <n v="13460197722"/>
        <n v="12729418594"/>
        <n v="11664866018"/>
        <n v="16782030250"/>
        <n v="7309084994"/>
        <n v="13076152982"/>
        <n v="9752432683"/>
        <n v="14186610709"/>
        <n v="19833452617"/>
        <n v="9065572324"/>
        <n v="5703877749"/>
        <n v="19716237464"/>
        <n v="10138254767"/>
        <n v="11314535587"/>
        <n v="12634974138"/>
        <n v="9738110535"/>
        <n v="11643264079"/>
        <n v="6550073893"/>
        <n v="16654538457"/>
        <n v="12841952642"/>
        <n v="15947068708"/>
        <n v="7571178877"/>
        <n v="11686522494"/>
        <n v="17731550761"/>
        <n v="18942636889"/>
        <n v="6387462404"/>
        <n v="19026792698"/>
        <n v="15389996263"/>
        <n v="7786480387"/>
        <n v="17737880122"/>
        <n v="12664949131"/>
        <n v="16861000234"/>
        <n v="13888922534"/>
        <n v="14327627383"/>
        <n v="10185412162"/>
        <n v="8282175431"/>
        <n v="15785741204"/>
        <n v="9018099865"/>
        <n v="11691964631"/>
        <n v="8451674463"/>
        <n v="9164246774"/>
        <n v="14340884258"/>
        <n v="7168009253"/>
        <n v="19458831198"/>
        <n v="17610247426"/>
        <n v="11661846976"/>
        <n v="10545031789"/>
        <n v="11358222175"/>
        <n v="11744716344"/>
        <n v="9612688482"/>
        <n v="13700664809"/>
        <n v="15508664175"/>
        <n v="9263668849"/>
        <n v="13787621203"/>
        <n v="18005946710"/>
        <n v="10098889889"/>
        <n v="8226780982"/>
        <n v="17019949886"/>
        <n v="11073630310"/>
        <n v="9380555380"/>
        <n v="16640634818"/>
        <n v="8089768870"/>
        <n v="16931011156"/>
        <n v="16472180169"/>
        <n v="14581130415"/>
        <n v="5318114486"/>
        <n v="19814938566"/>
        <n v="13941085692"/>
        <n v="18801502624"/>
        <n v="13059939771"/>
        <n v="16908879786"/>
        <n v="7203400075"/>
        <n v="18765462866"/>
        <n v="10211703797"/>
        <n v="14824260103"/>
        <n v="18808147150"/>
        <n v="7335760537"/>
        <n v="17315578796"/>
        <n v="5647276212"/>
        <n v="6557505339"/>
        <n v="15132523755"/>
        <n v="13411319092"/>
        <n v="8103350227"/>
        <n v="8859340166"/>
        <n v="12864732630"/>
        <n v="19909637251"/>
        <n v="9482010377"/>
        <n v="6940311223"/>
        <n v="8417325544"/>
        <n v="12011483364"/>
        <n v="14132310152"/>
        <n v="18321682480"/>
        <n v="11652663475"/>
        <n v="11584036388"/>
        <n v="18782382394"/>
        <n v="7382434260"/>
        <n v="19456335114"/>
        <n v="14368618381"/>
        <n v="12729885504"/>
        <n v="8469619625"/>
        <n v="15848632086"/>
        <n v="17928146832"/>
        <n v="17989542164"/>
        <n v="6152045684"/>
        <n v="16836243798"/>
        <n v="16139422505"/>
        <n v="9548006554"/>
        <n v="16895580815"/>
        <n v="16240083291"/>
        <n v="11432373323"/>
        <n v="19846387618"/>
        <n v="10270182691"/>
        <n v="13827496449"/>
        <n v="11534207296"/>
        <n v="7430177132"/>
        <n v="17877114298"/>
        <n v="9927936838"/>
        <n v="11914158554"/>
        <n v="18130200876"/>
        <n v="11583572658"/>
        <n v="6644620233"/>
        <n v="18768998808"/>
        <n v="10808670566"/>
        <n v="18793891125"/>
        <n v="7020216669"/>
        <n v="11227593925"/>
        <n v="8861717408"/>
        <n v="13018762765"/>
        <n v="9496852852"/>
        <n v="14800185962"/>
        <n v="8416753062"/>
        <n v="12852011317"/>
        <n v="19756965859"/>
        <n v="11122911230"/>
        <n v="16485330446"/>
        <n v="15113132584"/>
        <n v="13951553720"/>
        <n v="15409119271"/>
        <n v="14110556301"/>
        <n v="11505351408"/>
        <n v="17427808963"/>
        <n v="10561657912"/>
        <n v="10796012246"/>
        <n v="15273880507"/>
        <n v="17933328881"/>
        <n v="9246129285"/>
        <n v="11461718687"/>
        <n v="15796654133"/>
        <n v="17673360637"/>
        <n v="16609605942"/>
        <n v="15589999588"/>
        <n v="19614896783"/>
        <n v="6356573780"/>
        <n v="5509568002"/>
        <n v="14468035363"/>
        <n v="18588737724"/>
        <n v="6523953565"/>
        <n v="8444063288"/>
        <n v="14873007184"/>
        <n v="9420241101"/>
        <n v="10942719196"/>
        <n v="10399408221"/>
        <n v="5149849693"/>
        <n v="12752580163"/>
        <n v="16377852382"/>
        <n v="15923641671"/>
        <n v="6531276814"/>
        <n v="19139621006"/>
        <n v="7142318181"/>
        <n v="10611576433"/>
        <n v="7323507123"/>
        <n v="17133317238"/>
        <n v="8641226117"/>
        <n v="18960217812"/>
        <n v="5152922484"/>
        <n v="14737735881"/>
        <n v="11018589464"/>
        <n v="12504841895"/>
        <n v="9545803943"/>
        <n v="10937481164"/>
        <n v="17781237366"/>
        <n v="14075946856"/>
        <n v="17815073829"/>
        <n v="8582626126"/>
        <n v="17838709007"/>
        <n v="15648054896"/>
        <n v="15893645982"/>
        <n v="19604996789"/>
        <n v="13358841713"/>
        <n v="16579977460"/>
        <n v="18430272465"/>
        <n v="9363037363"/>
        <n v="13197347212"/>
        <n v="6677625789"/>
        <n v="13104191262"/>
        <n v="5161220914"/>
        <n v="17637310202"/>
        <n v="9897018704"/>
        <n v="14640665936"/>
        <n v="16456922307"/>
        <n v="6568715630"/>
        <n v="6644029236"/>
        <n v="18227487487"/>
        <n v="17560385805"/>
        <n v="19774628627"/>
        <n v="5282345417"/>
        <n v="8133295785"/>
        <n v="10184334320"/>
        <n v="18300753695"/>
        <n v="13878289168"/>
        <n v="13973147193"/>
        <n v="8046709255"/>
        <n v="9236017256"/>
        <n v="6413035553"/>
        <n v="15986728775"/>
        <n v="9687560178"/>
        <n v="6588278496"/>
        <n v="11199189899"/>
        <n v="9000667547"/>
        <n v="12465229611"/>
        <n v="14896500404"/>
        <n v="14799049316"/>
        <n v="18713092617"/>
        <n v="16805465254"/>
        <n v="14505450248"/>
        <n v="10806122549"/>
        <n v="17167661800"/>
        <n v="13414872686"/>
        <n v="13351789947"/>
        <n v="8144018454"/>
        <n v="10824151396"/>
        <n v="16754700510"/>
        <n v="13027840283"/>
        <n v="8439918128"/>
        <n v="12670837136"/>
        <n v="18251254610"/>
        <n v="6560227745"/>
        <n v="14443060707"/>
        <n v="8605806470"/>
        <n v="18541451915"/>
        <n v="15790567330"/>
        <n v="13365845309"/>
        <n v="11417678713"/>
        <n v="17402979577"/>
        <n v="14107423353"/>
        <n v="12664152205"/>
        <n v="7778215290"/>
        <n v="14954913916"/>
        <n v="15481381698"/>
        <n v="11712522838"/>
        <n v="13756386408"/>
        <n v="13009192330"/>
        <n v="9090799678"/>
        <n v="7918029220"/>
        <n v="10642582906"/>
        <n v="19647577142"/>
        <n v="15711957620"/>
        <n v="10038837028"/>
        <n v="9457609977"/>
        <n v="15851738346"/>
        <n v="10194351917"/>
        <n v="7369565272"/>
        <n v="9332023907"/>
        <n v="5728072323"/>
        <n v="14843015558"/>
        <n v="19544012256"/>
        <n v="19868905162"/>
        <n v="9318303083"/>
        <n v="13740924616"/>
        <n v="7788761208"/>
        <n v="17771922214"/>
        <n v="8808021584"/>
        <n v="11192425819"/>
        <n v="9538166828"/>
        <n v="6824564419"/>
        <n v="9814156310"/>
        <n v="11812773682"/>
        <n v="16087302422"/>
        <n v="11268644278"/>
        <n v="16454038855"/>
        <n v="8720665039"/>
        <n v="5220250485"/>
        <n v="12533912164"/>
        <n v="10414516344"/>
        <n v="15495522952"/>
        <n v="13527313706"/>
        <n v="11924228778"/>
        <n v="7252204354"/>
        <n v="7317098693"/>
        <n v="7129233268"/>
        <n v="17914537947"/>
        <n v="12421650351"/>
        <n v="19417487313"/>
        <n v="9306050327"/>
        <n v="18549946525"/>
        <n v="19852203756"/>
        <n v="5883512064"/>
        <n v="11523447744"/>
        <n v="9631040999"/>
        <n v="12119018742"/>
        <n v="17555661518"/>
        <n v="9586227654"/>
        <n v="17963578177"/>
        <n v="7955302121"/>
        <n v="12923331618"/>
        <n v="16367236342"/>
        <n v="10956259576"/>
        <n v="15806884536"/>
        <n v="10779438774"/>
        <n v="7764718758"/>
        <n v="6912391322"/>
        <n v="14994514428"/>
        <n v="7884337935"/>
        <n v="12452147525"/>
        <n v="7245971264"/>
        <n v="14047287806"/>
        <n v="10774855240"/>
        <n v="9602996001"/>
        <n v="8621455856"/>
        <n v="5536870879"/>
        <n v="8880891013"/>
        <n v="16477351074"/>
        <n v="12920254885"/>
        <n v="16438581863"/>
        <n v="12668426079"/>
        <n v="16413767338"/>
        <n v="15911174550"/>
        <n v="13056746207"/>
        <n v="6974057939"/>
        <n v="11003803134"/>
        <n v="17552142118"/>
        <n v="11760953647"/>
        <n v="9318197850"/>
        <n v="7868422908"/>
        <n v="17415152986"/>
        <n v="14241334382"/>
        <n v="19217681417"/>
        <n v="16209619277"/>
        <n v="12097020632"/>
        <n v="17666094987"/>
        <n v="15236467952"/>
        <n v="17048403140"/>
        <n v="8081970522"/>
        <n v="5897253747"/>
        <n v="14786170161"/>
        <n v="14025754117"/>
        <n v="14686380695"/>
        <n v="12917187369"/>
        <n v="7570645554"/>
        <n v="19175705351"/>
        <n v="7888146905"/>
        <n v="7610452133"/>
        <n v="18085416710"/>
        <n v="9146296754"/>
        <n v="9297896247"/>
        <n v="17637490503"/>
        <n v="18818295502"/>
        <n v="16561793827"/>
        <n v="15036344926"/>
        <n v="18915504026"/>
      </sharedItems>
    </cacheField>
    <cacheField name="Net Income" numFmtId="0">
      <sharedItems containsSemiMixedTypes="0" containsString="0" containsNumber="1" minValue="298030924.10000002" maxValue="2884007106" count="384">
        <n v="1329397719"/>
        <n v="722080990.60000002"/>
        <n v="2263166301"/>
        <n v="516889818.39999998"/>
        <n v="1291419013"/>
        <n v="674015397.39999998"/>
        <n v="1658196131"/>
        <n v="1296423798"/>
        <n v="1438598483"/>
        <n v="1311084923"/>
        <n v="1306294910"/>
        <n v="1760261975"/>
        <n v="1743770422"/>
        <n v="511149178.89999998"/>
        <n v="1654939942"/>
        <n v="875656602.5"/>
        <n v="1137314233"/>
        <n v="1124878943"/>
        <n v="1404729444"/>
        <n v="1709962819"/>
        <n v="2467286454"/>
        <n v="1478784803"/>
        <n v="889227522"/>
        <n v="587168043.39999998"/>
        <n v="1122578628"/>
        <n v="1662688493"/>
        <n v="1677667162"/>
        <n v="1481049554"/>
        <n v="1039334580"/>
        <n v="1526410746"/>
        <n v="970590418.5"/>
        <n v="2107123762"/>
        <n v="1519697640"/>
        <n v="736570414.39999998"/>
        <n v="588622371.39999998"/>
        <n v="1276840007"/>
        <n v="1262116952"/>
        <n v="1340341283"/>
        <n v="741274735"/>
        <n v="1128540207"/>
        <n v="1453293868"/>
        <n v="733627118.39999998"/>
        <n v="1322270205"/>
        <n v="1411970100"/>
        <n v="835207323"/>
        <n v="527700192"/>
        <n v="980715243.5"/>
        <n v="1893885668"/>
        <n v="1771268697"/>
        <n v="911547751.10000002"/>
        <n v="2073416725"/>
        <n v="923394181.60000002"/>
        <n v="484400549.69999999"/>
        <n v="2592267899"/>
        <n v="649372783.10000002"/>
        <n v="918419211.5"/>
        <n v="1095226689"/>
        <n v="1625286889"/>
        <n v="754846740.29999995"/>
        <n v="459390813.5"/>
        <n v="1106822544"/>
        <n v="963180373.70000005"/>
        <n v="1345578064"/>
        <n v="530013312.60000002"/>
        <n v="981041952.60000002"/>
        <n v="1865680236"/>
        <n v="373428560.19999999"/>
        <n v="1600107100"/>
        <n v="2015329868"/>
        <n v="1354192659"/>
        <n v="1010594241"/>
        <n v="1091045445"/>
        <n v="1284599881"/>
        <n v="1071424359"/>
        <n v="892851810.70000005"/>
        <n v="1417702229"/>
        <n v="635671166.79999995"/>
        <n v="1605393739"/>
        <n v="2292027552"/>
        <n v="1161225924"/>
        <n v="522858114.5"/>
        <n v="2402780363"/>
        <n v="912822455.70000005"/>
        <n v="1350100953"/>
        <n v="2400803163"/>
        <n v="488084935.30000001"/>
        <n v="2086994153"/>
        <n v="2043609431"/>
        <n v="1529637744"/>
        <n v="431100966"/>
        <n v="1836312727"/>
        <n v="1722322782"/>
        <n v="1006058196"/>
        <n v="864826440.5"/>
        <n v="1197174003"/>
        <n v="631684017.89999998"/>
        <n v="1081539894"/>
        <n v="526461438.30000001"/>
        <n v="1856672009"/>
        <n v="960184349.60000002"/>
        <n v="743322627.70000005"/>
        <n v="1167741135"/>
        <n v="430192893.60000002"/>
        <n v="618883604.89999998"/>
        <n v="1022601951"/>
        <n v="782523298.89999998"/>
        <n v="738019784.60000002"/>
        <n v="1144565565"/>
        <n v="1045458883"/>
        <n v="2732548048"/>
        <n v="803442750.39999998"/>
        <n v="962499322.10000002"/>
        <n v="742678238"/>
        <n v="1571388192"/>
        <n v="1250503703"/>
        <n v="1436804767"/>
        <n v="1123917078"/>
        <n v="1399147461"/>
        <n v="1614997271"/>
        <n v="1093800017"/>
        <n v="2009563555"/>
        <n v="1533626886"/>
        <n v="1804875257"/>
        <n v="602960048.5"/>
        <n v="2129654605"/>
        <n v="2182113657"/>
        <n v="2639441820"/>
        <n v="707968936.5"/>
        <n v="2100216671"/>
        <n v="1276985447"/>
        <n v="1237046329"/>
        <n v="1797081911"/>
        <n v="1330285061"/>
        <n v="902833070.5"/>
        <n v="2884007106"/>
        <n v="708863277.10000002"/>
        <n v="1133835190"/>
        <n v="1513985001"/>
        <n v="551583106"/>
        <n v="1224635136"/>
        <n v="1197785480"/>
        <n v="1054111676"/>
        <n v="2418330284"/>
        <n v="1407524593"/>
        <n v="990744714.5"/>
        <n v="1373518726"/>
        <n v="658653438.10000002"/>
        <n v="2702710428"/>
        <n v="504888024.60000002"/>
        <n v="1221025867"/>
        <n v="569761713.29999995"/>
        <n v="1704211990"/>
        <n v="691692392.20000005"/>
        <n v="1295428284"/>
        <n v="980336277"/>
        <n v="684110085.89999998"/>
        <n v="1431835601"/>
        <n v="1144594204"/>
        <n v="1727330520"/>
        <n v="1914494156"/>
        <n v="1348710564"/>
        <n v="924345905.79999995"/>
        <n v="1163491999"/>
        <n v="1425682028"/>
        <n v="1967928248"/>
        <n v="1025524147"/>
        <n v="986280250.60000002"/>
        <n v="1698666925"/>
        <n v="1112803764"/>
        <n v="1035650167"/>
        <n v="1380378045"/>
        <n v="805016265.79999995"/>
        <n v="1501884164"/>
        <n v="2209253956"/>
        <n v="1310559971"/>
        <n v="1231038198"/>
        <n v="831921707.29999995"/>
        <n v="378951538.10000002"/>
        <n v="1480956904"/>
        <n v="2116759905"/>
        <n v="440649540.10000002"/>
        <n v="1187007039"/>
        <n v="1613587509"/>
        <n v="990420474.39999998"/>
        <n v="1439735669"/>
        <n v="561732001.5"/>
        <n v="750613275.10000002"/>
        <n v="884167446.60000002"/>
        <n v="1007117429"/>
        <n v="1238976660"/>
        <n v="872767531.70000005"/>
        <n v="2834016899"/>
        <n v="980884827.39999998"/>
        <n v="1197653535"/>
        <n v="793777927.10000002"/>
        <n v="1743084807"/>
        <n v="983139976.89999998"/>
        <n v="2711256442"/>
        <n v="599573691.39999998"/>
        <n v="1726421482"/>
        <n v="1097018126"/>
        <n v="639354361.79999995"/>
        <n v="1253796606"/>
        <n v="1145842379"/>
        <n v="1179606125"/>
        <n v="1786382228"/>
        <n v="1375991001"/>
        <n v="482111535"/>
        <n v="1559286116"/>
        <n v="1066739844"/>
        <n v="2170220695"/>
        <n v="2406144332"/>
        <n v="1013271417"/>
        <n v="877145067"/>
        <n v="1278461027"/>
        <n v="704852259.10000002"/>
        <n v="691428622"/>
        <n v="440969634.69999999"/>
        <n v="1856279741"/>
        <n v="527374446.19999999"/>
        <n v="1618745275"/>
        <n v="888471372.70000005"/>
        <n v="2101927829"/>
        <n v="1492220093"/>
        <n v="719090971.20000005"/>
        <n v="744873003.70000005"/>
        <n v="1997618536"/>
        <n v="2276360916"/>
        <n v="1421900578"/>
        <n v="541864195.89999998"/>
        <n v="750601103.20000005"/>
        <n v="1365996842"/>
        <n v="989934361.29999995"/>
        <n v="932271478.5"/>
        <n v="1079900966"/>
        <n v="662165230.70000005"/>
        <n v="529982877.30000001"/>
        <n v="941195826.20000005"/>
        <n v="2071404633"/>
        <n v="1027662516"/>
        <n v="731216298.10000002"/>
        <n v="719949867.5"/>
        <n v="1079598533"/>
        <n v="800983300.39999998"/>
        <n v="1471513321"/>
        <n v="1792143630"/>
        <n v="1701020228"/>
        <n v="1837934274"/>
        <n v="863046066.89999998"/>
        <n v="698788622.5"/>
        <n v="1338393789"/>
        <n v="1069408471"/>
        <n v="761306516.20000005"/>
        <n v="529257365.39999998"/>
        <n v="830279996.20000005"/>
        <n v="923006607.20000005"/>
        <n v="1127343336"/>
        <n v="854234127.5"/>
        <n v="1282915745"/>
        <n v="2670535587"/>
        <n v="884011217.39999998"/>
        <n v="1684483053"/>
        <n v="524552249.30000001"/>
        <n v="2242441772"/>
        <n v="951709509"/>
        <n v="1437180604"/>
        <n v="984493632.89999998"/>
        <n v="1387637302"/>
        <n v="1367599932"/>
        <n v="953498605.79999995"/>
        <n v="1028179890"/>
        <n v="1086100755"/>
        <n v="1813221637"/>
        <n v="1191464502"/>
        <n v="721617987.5"/>
        <n v="1451167596"/>
        <n v="904181650.89999998"/>
        <n v="810924591.5"/>
        <n v="1154447670"/>
        <n v="1826544478"/>
        <n v="2201969781"/>
        <n v="1319011419"/>
        <n v="1131311165"/>
        <n v="905684923"/>
        <n v="1512864021"/>
        <n v="1064148244"/>
        <n v="746667545.10000002"/>
        <n v="604515777.29999995"/>
        <n v="1680873545"/>
        <n v="2752792674"/>
        <n v="1429630591"/>
        <n v="958508333.70000005"/>
        <n v="1900766775"/>
        <n v="663079894"/>
        <n v="1082288023"/>
        <n v="1274941171"/>
        <n v="1563079220"/>
        <n v="766520233.89999998"/>
        <n v="375695945.89999998"/>
        <n v="576451352.5"/>
        <n v="980285159.39999998"/>
        <n v="1326310547"/>
        <n v="1309520126"/>
        <n v="1761523797"/>
        <n v="1028066418"/>
        <n v="460458002.10000002"/>
        <n v="782840180.29999995"/>
        <n v="1120888368"/>
        <n v="1232326295"/>
        <n v="1369609294"/>
        <n v="1074208571"/>
        <n v="949551701.20000005"/>
        <n v="887813882.29999995"/>
        <n v="804182359.39999998"/>
        <n v="1449472284"/>
        <n v="967097057.5"/>
        <n v="2333015849"/>
        <n v="729847876.89999998"/>
        <n v="2323022170"/>
        <n v="2223753463"/>
        <n v="440184439.5"/>
        <n v="1069672005"/>
        <n v="1113020766"/>
        <n v="894091080.29999995"/>
        <n v="1335299860"/>
        <n v="1382170553"/>
        <n v="2139702451"/>
        <n v="939711762.39999998"/>
        <n v="1676027156"/>
        <n v="1857704381"/>
        <n v="738896491.20000005"/>
        <n v="845076735.89999998"/>
        <n v="1358943185"/>
        <n v="920211365.79999995"/>
        <n v="945409918.5"/>
        <n v="1118453310"/>
        <n v="1152213820"/>
        <n v="908357933.29999995"/>
        <n v="1033867668"/>
        <n v="1489899027"/>
        <n v="975556879.20000005"/>
        <n v="1224040111"/>
        <n v="1229669587"/>
        <n v="298030924.10000002"/>
        <n v="668545569.70000005"/>
        <n v="1226392611"/>
        <n v="1147104411"/>
        <n v="1419961878"/>
        <n v="744579528.29999995"/>
        <n v="1074145603"/>
        <n v="1241693861"/>
        <n v="1500333956"/>
        <n v="389688114"/>
        <n v="1050945998"/>
        <n v="1316005049"/>
        <n v="812341476"/>
        <n v="641817429.79999995"/>
        <n v="477697388.19999999"/>
        <n v="1617758811"/>
        <n v="1165009578"/>
        <n v="2238884002"/>
        <n v="1894725317"/>
        <n v="1236164244"/>
        <n v="1547381835"/>
        <n v="894574066"/>
        <n v="1779998241"/>
        <n v="678443942.39999998"/>
        <n v="625948791.20000005"/>
        <n v="1680074258"/>
        <n v="1636333354"/>
        <n v="2175890454"/>
        <n v="1708731611"/>
        <n v="419794972.69999999"/>
        <n v="1921123977"/>
        <n v="698353200.20000005"/>
        <n v="536310750.10000002"/>
        <n v="2126765225"/>
        <n v="868361702.89999998"/>
        <n v="1145109250"/>
        <n v="2103890014"/>
        <n v="2691544192"/>
        <n v="2435933937"/>
        <n v="1704097607"/>
        <n v="2413914962"/>
      </sharedItems>
    </cacheField>
    <cacheField name="Liabilities" numFmtId="0">
      <sharedItems containsSemiMixedTypes="0" containsString="0" containsNumber="1" containsInteger="1" minValue="10046371516" maxValue="49769403556"/>
    </cacheField>
    <cacheField name="Assets" numFmtId="0">
      <sharedItems containsSemiMixedTypes="0" containsString="0" containsNumber="1" containsInteger="1" minValue="21773242219" maxValue="96574017987"/>
    </cacheField>
    <cacheField name="Equity" numFmtId="0">
      <sharedItems containsSemiMixedTypes="0" containsString="0" containsNumber="1" containsInteger="1" minValue="10017618918" maxValue="49918115168" count="384">
        <n v="33599844991"/>
        <n v="26303405678"/>
        <n v="14540400911"/>
        <n v="33507101493"/>
        <n v="11204836955"/>
        <n v="46758836361"/>
        <n v="47537965801"/>
        <n v="30008844510"/>
        <n v="33551058632"/>
        <n v="14786071601"/>
        <n v="11687359907"/>
        <n v="49573253883"/>
        <n v="15374555661"/>
        <n v="43515129494"/>
        <n v="40866062225"/>
        <n v="38306140440"/>
        <n v="28360621715"/>
        <n v="48878567538"/>
        <n v="21331867881"/>
        <n v="25600350690"/>
        <n v="17186260123"/>
        <n v="18938066680"/>
        <n v="17468864554"/>
        <n v="47391521437"/>
        <n v="34267253748"/>
        <n v="42428606957"/>
        <n v="17374218871"/>
        <n v="46032617629"/>
        <n v="33620773909"/>
        <n v="43578715998"/>
        <n v="39534355300"/>
        <n v="18010539913"/>
        <n v="37208802008"/>
        <n v="47693317491"/>
        <n v="14744340891"/>
        <n v="30258798286"/>
        <n v="27675720085"/>
        <n v="23630475373"/>
        <n v="12305538423"/>
        <n v="38884501637"/>
        <n v="39839793167"/>
        <n v="17505350723"/>
        <n v="33724608237"/>
        <n v="26003852694"/>
        <n v="34555047086"/>
        <n v="15115925857"/>
        <n v="38996750884"/>
        <n v="28930010345"/>
        <n v="33912377129"/>
        <n v="16177524478"/>
        <n v="23843141652"/>
        <n v="18286883994"/>
        <n v="27018732075"/>
        <n v="14749483574"/>
        <n v="33966112537"/>
        <n v="48614290545"/>
        <n v="22995586599"/>
        <n v="10556038645"/>
        <n v="34957595076"/>
        <n v="35855605509"/>
        <n v="38436731220"/>
        <n v="12538339252"/>
        <n v="48005073523"/>
        <n v="39866459145"/>
        <n v="24592109205"/>
        <n v="12952933241"/>
        <n v="23464037519"/>
        <n v="21044732775"/>
        <n v="28244498693"/>
        <n v="31104885082"/>
        <n v="30318770165"/>
        <n v="22471671016"/>
        <n v="29346615849"/>
        <n v="29749980287"/>
        <n v="36320112247"/>
        <n v="28488130553"/>
        <n v="34389197248"/>
        <n v="23083037385"/>
        <n v="42283800104"/>
        <n v="38294298213"/>
        <n v="15757478080"/>
        <n v="30438894999"/>
        <n v="21085560486"/>
        <n v="27710496218"/>
        <n v="16226483469"/>
        <n v="47947280377"/>
        <n v="34118426257"/>
        <n v="27746040013"/>
        <n v="14832401705"/>
        <n v="16412974734"/>
        <n v="11830459986"/>
        <n v="33398144732"/>
        <n v="38639760784"/>
        <n v="35589255939"/>
        <n v="19562762134"/>
        <n v="17978113860"/>
        <n v="45583088532"/>
        <n v="47601936851"/>
        <n v="37328594673"/>
        <n v="31945375011"/>
        <n v="46346503113"/>
        <n v="34138963187"/>
        <n v="17425983031"/>
        <n v="27222182829"/>
        <n v="48801871894"/>
        <n v="18126177021"/>
        <n v="11452179248"/>
        <n v="37630261724"/>
        <n v="38127842074"/>
        <n v="21833733082"/>
        <n v="46392106941"/>
        <n v="12180852427"/>
        <n v="13973349836"/>
        <n v="19615189283"/>
        <n v="26070395624"/>
        <n v="40428390691"/>
        <n v="24602569617"/>
        <n v="30730823758"/>
        <n v="13299931041"/>
        <n v="10560668658"/>
        <n v="17455761369"/>
        <n v="21991410599"/>
        <n v="45141968200"/>
        <n v="46146687414"/>
        <n v="48473500667"/>
        <n v="44224621899"/>
        <n v="35755880815"/>
        <n v="28184152074"/>
        <n v="45145767866"/>
        <n v="36796406616"/>
        <n v="24607275062"/>
        <n v="39727147101"/>
        <n v="15243072025"/>
        <n v="39344725041"/>
        <n v="20480456706"/>
        <n v="14342060597"/>
        <n v="36122528684"/>
        <n v="34134618968"/>
        <n v="16618100141"/>
        <n v="33639551155"/>
        <n v="48758692107"/>
        <n v="39815532785"/>
        <n v="42333642596"/>
        <n v="45551079942"/>
        <n v="31453975875"/>
        <n v="26851641187"/>
        <n v="47580084695"/>
        <n v="41973256961"/>
        <n v="43361684085"/>
        <n v="18569319208"/>
        <n v="22956866781"/>
        <n v="18864602170"/>
        <n v="41008743229"/>
        <n v="45780751343"/>
        <n v="49441756560"/>
        <n v="34860843439"/>
        <n v="49386140275"/>
        <n v="30466770941"/>
        <n v="17576276882"/>
        <n v="44962176029"/>
        <n v="40952180459"/>
        <n v="32997854506"/>
        <n v="15763847262"/>
        <n v="25261653663"/>
        <n v="36605948363"/>
        <n v="34960523204"/>
        <n v="48123959803"/>
        <n v="21075029108"/>
        <n v="48682247520"/>
        <n v="23456719694"/>
        <n v="45958663267"/>
        <n v="36281906442"/>
        <n v="41815713810"/>
        <n v="37889368896"/>
        <n v="14494417343"/>
        <n v="48972751675"/>
        <n v="47458919941"/>
        <n v="17811720171"/>
        <n v="48314930400"/>
        <n v="49229460503"/>
        <n v="41884092879"/>
        <n v="21945396709"/>
        <n v="48340561225"/>
        <n v="21150786988"/>
        <n v="16467879985"/>
        <n v="30022197194"/>
        <n v="38460002684"/>
        <n v="25508698298"/>
        <n v="35626859272"/>
        <n v="11183252715"/>
        <n v="33877439705"/>
        <n v="23329810257"/>
        <n v="36467173338"/>
        <n v="34071731919"/>
        <n v="42798125639"/>
        <n v="36674095780"/>
        <n v="22350435755"/>
        <n v="43224804128"/>
        <n v="11447158840"/>
        <n v="18956503575"/>
        <n v="35644008796"/>
        <n v="40168506143"/>
        <n v="18621395319"/>
        <n v="11599775933"/>
        <n v="24280880621"/>
        <n v="36854745578"/>
        <n v="13607468976"/>
        <n v="46368261566"/>
        <n v="10842258346"/>
        <n v="34998977318"/>
        <n v="19685771106"/>
        <n v="38327012925"/>
        <n v="43403011323"/>
        <n v="45787084273"/>
        <n v="10659050238"/>
        <n v="19923204453"/>
        <n v="14377180395"/>
        <n v="23163380748"/>
        <n v="16247805762"/>
        <n v="35792721615"/>
        <n v="12999517193"/>
        <n v="21261451739"/>
        <n v="41125298082"/>
        <n v="31533667388"/>
        <n v="47212587750"/>
        <n v="12142871334"/>
        <n v="14897153522"/>
        <n v="32956866713"/>
        <n v="21352639311"/>
        <n v="20634242100"/>
        <n v="19019218627"/>
        <n v="45663092533"/>
        <n v="18226991420"/>
        <n v="33305539595"/>
        <n v="27532700626"/>
        <n v="49752983577"/>
        <n v="48492806515"/>
        <n v="15417506885"/>
        <n v="24940845625"/>
        <n v="24777201513"/>
        <n v="42176831292"/>
        <n v="47390693656"/>
        <n v="27838769289"/>
        <n v="23609076699"/>
        <n v="20724793320"/>
        <n v="17507611301"/>
        <n v="10722538138"/>
        <n v="27836887544"/>
        <n v="23463368071"/>
        <n v="10018751320"/>
        <n v="26298173188"/>
        <n v="44559996459"/>
        <n v="48683406213"/>
        <n v="26515997537"/>
        <n v="29972409208"/>
        <n v="46847096308"/>
        <n v="36936380680"/>
        <n v="34886030465"/>
        <n v="34797056973"/>
        <n v="12645076680"/>
        <n v="13157833026"/>
        <n v="27024216101"/>
        <n v="11480691758"/>
        <n v="29341497155"/>
        <n v="39750323756"/>
        <n v="30780972550"/>
        <n v="43977837414"/>
        <n v="29661517798"/>
        <n v="14234478784"/>
        <n v="24409292791"/>
        <n v="18768088693"/>
        <n v="38687285420"/>
        <n v="19425639371"/>
        <n v="37755963332"/>
        <n v="43634097086"/>
        <n v="18432801897"/>
        <n v="27602936339"/>
        <n v="48315458259"/>
        <n v="31278689333"/>
        <n v="27467486343"/>
        <n v="41902646886"/>
        <n v="10661022066"/>
        <n v="36396390567"/>
        <n v="10017618918"/>
        <n v="36377971585"/>
        <n v="22313034979"/>
        <n v="19004181470"/>
        <n v="45722445996"/>
        <n v="31930225699"/>
        <n v="41845202900"/>
        <n v="29462760059"/>
        <n v="38568298020"/>
        <n v="11728609038"/>
        <n v="19400218090"/>
        <n v="40655170488"/>
        <n v="18619997397"/>
        <n v="28142605992"/>
        <n v="32010178767"/>
        <n v="15502906866"/>
        <n v="21169445954"/>
        <n v="47761556249"/>
        <n v="22103893521"/>
        <n v="22696577557"/>
        <n v="35464997643"/>
        <n v="47224794554"/>
        <n v="46962510984"/>
        <n v="43851130409"/>
        <n v="46282140198"/>
        <n v="33789015327"/>
        <n v="29262180763"/>
        <n v="37162198900"/>
        <n v="41411017045"/>
        <n v="49507409035"/>
        <n v="37835857412"/>
        <n v="22385488410"/>
        <n v="46101818615"/>
        <n v="27284172832"/>
        <n v="24621953437"/>
        <n v="15261843092"/>
        <n v="39771378864"/>
        <n v="29884819852"/>
        <n v="19796788588"/>
        <n v="49052963625"/>
        <n v="45547539617"/>
        <n v="41012436432"/>
        <n v="49045015000"/>
        <n v="45937538167"/>
        <n v="29163351745"/>
        <n v="30117410898"/>
        <n v="10404620558"/>
        <n v="47049401381"/>
        <n v="20825038587"/>
        <n v="38220242245"/>
        <n v="37588298767"/>
        <n v="29870168123"/>
        <n v="13805394830"/>
        <n v="41833723872"/>
        <n v="34667564065"/>
        <n v="15807079033"/>
        <n v="27709677772"/>
        <n v="25461976485"/>
        <n v="44722189642"/>
        <n v="15303088274"/>
        <n v="10819903444"/>
        <n v="26965443436"/>
        <n v="18637988008"/>
        <n v="49918115168"/>
        <n v="17310486949"/>
        <n v="20156723569"/>
        <n v="27056387988"/>
        <n v="48458087124"/>
        <n v="28861665442"/>
        <n v="18563539961"/>
        <n v="20279738454"/>
        <n v="11945417506"/>
        <n v="22532589831"/>
        <n v="17456044036"/>
        <n v="45087131537"/>
        <n v="48059621879"/>
        <n v="33851113217"/>
        <n v="24236345242"/>
        <n v="28127547323"/>
        <n v="14272539423"/>
        <n v="28748860015"/>
        <n v="35121438664"/>
        <n v="37574881608"/>
        <n v="29340147083"/>
        <n v="13041846011"/>
        <n v="34894261833"/>
        <n v="43232017234"/>
        <n v="49110493703"/>
        <n v="25718407267"/>
        <n v="28599511746"/>
        <n v="30725363554"/>
        <n v="19819745411"/>
        <n v="39999558449"/>
        <n v="16924612027"/>
        <n v="13042154240"/>
        <n v="18276874181"/>
        <n v="17142343256"/>
        <n v="46460562427"/>
        <n v="33207246674"/>
        <n v="28841568494"/>
        <n v="34536898427"/>
      </sharedItems>
    </cacheField>
    <cacheField name="ROA (%)" numFmtId="0">
      <sharedItems containsSemiMixedTypes="0" containsString="0" containsNumber="1" minValue="0.50110206400000001" maxValue="9.1560519239999998"/>
    </cacheField>
    <cacheField name="ROE (%)" numFmtId="0">
      <sharedItems containsSemiMixedTypes="0" containsString="0" containsNumber="1" minValue="0.98047994500000002" maxValue="21.11917274"/>
    </cacheField>
    <cacheField name="Debt to Equity" numFmtId="0">
      <sharedItems containsSemiMixedTypes="0" containsString="0" containsNumber="1" minValue="0.219662725" maxValue="4.631348221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24520605687"/>
    <n v="58120450678"/>
    <x v="0"/>
    <n v="2.2873148830000001"/>
    <n v="3.9565590820000001"/>
    <n v="0.72978329799999997"/>
  </r>
  <r>
    <x v="0"/>
    <x v="1"/>
    <x v="1"/>
    <x v="1"/>
    <n v="27556950386"/>
    <n v="53860356064"/>
    <x v="1"/>
    <n v="1.340653949"/>
    <n v="2.745199612"/>
    <n v="1.047657126"/>
  </r>
  <r>
    <x v="0"/>
    <x v="2"/>
    <x v="2"/>
    <x v="2"/>
    <n v="11556351337"/>
    <n v="26096752248"/>
    <x v="2"/>
    <n v="8.6722143789999997"/>
    <n v="15.564676070000001"/>
    <n v="0.79477528900000005"/>
  </r>
  <r>
    <x v="0"/>
    <x v="3"/>
    <x v="3"/>
    <x v="3"/>
    <n v="21354201295"/>
    <n v="54861302788"/>
    <x v="3"/>
    <n v="0.94217561800000005"/>
    <n v="1.542627668"/>
    <n v="0.63730374599999995"/>
  </r>
  <r>
    <x v="0"/>
    <x v="4"/>
    <x v="4"/>
    <x v="4"/>
    <n v="42659096630"/>
    <n v="53863933584"/>
    <x v="4"/>
    <n v="2.3975579339999999"/>
    <n v="11.52554935"/>
    <n v="3.8072036929999999"/>
  </r>
  <r>
    <x v="0"/>
    <x v="5"/>
    <x v="5"/>
    <x v="5"/>
    <n v="48397997453"/>
    <n v="95156833814"/>
    <x v="5"/>
    <n v="0.70832053800000006"/>
    <n v="1.441471709"/>
    <n v="1.035055643"/>
  </r>
  <r>
    <x v="0"/>
    <x v="6"/>
    <x v="6"/>
    <x v="6"/>
    <n v="14924498356"/>
    <n v="62462464157"/>
    <x v="6"/>
    <n v="2.6547081559999999"/>
    <n v="3.4881512130000001"/>
    <n v="0.31394903200000002"/>
  </r>
  <r>
    <x v="0"/>
    <x v="7"/>
    <x v="7"/>
    <x v="7"/>
    <n v="22603216585"/>
    <n v="52612061095"/>
    <x v="7"/>
    <n v="2.4641190079999999"/>
    <n v="4.3201390100000001"/>
    <n v="0.75321849100000005"/>
  </r>
  <r>
    <x v="0"/>
    <x v="8"/>
    <x v="8"/>
    <x v="8"/>
    <n v="20854112480"/>
    <n v="54405171112"/>
    <x v="8"/>
    <n v="2.6442311520000001"/>
    <n v="4.2877886460000001"/>
    <n v="0.62156347199999995"/>
  </r>
  <r>
    <x v="0"/>
    <x v="9"/>
    <x v="9"/>
    <x v="9"/>
    <n v="25365853191"/>
    <n v="40151924792"/>
    <x v="9"/>
    <n v="3.2653102679999999"/>
    <n v="8.8670267430000003"/>
    <n v="1.715523492"/>
  </r>
  <r>
    <x v="0"/>
    <x v="10"/>
    <x v="10"/>
    <x v="10"/>
    <n v="21657205056"/>
    <n v="33344564963"/>
    <x v="10"/>
    <n v="3.9175647109999998"/>
    <n v="11.17698882"/>
    <n v="1.853045104"/>
  </r>
  <r>
    <x v="0"/>
    <x v="11"/>
    <x v="11"/>
    <x v="11"/>
    <n v="43856467673"/>
    <n v="93429721556"/>
    <x v="11"/>
    <n v="1.884049257"/>
    <n v="3.5508300080000001"/>
    <n v="0.88468002899999998"/>
  </r>
  <r>
    <x v="0"/>
    <x v="12"/>
    <x v="12"/>
    <x v="12"/>
    <n v="44490184859"/>
    <n v="59864740520"/>
    <x v="12"/>
    <n v="2.9128505480000002"/>
    <n v="11.34192402"/>
    <n v="2.8937541900000001"/>
  </r>
  <r>
    <x v="0"/>
    <x v="13"/>
    <x v="13"/>
    <x v="13"/>
    <n v="17592686846"/>
    <n v="61107816340"/>
    <x v="13"/>
    <n v="0.83647102699999998"/>
    <n v="1.1746470360000001"/>
    <n v="0.404288969"/>
  </r>
  <r>
    <x v="0"/>
    <x v="14"/>
    <x v="14"/>
    <x v="14"/>
    <n v="49496396884"/>
    <n v="90362459109"/>
    <x v="14"/>
    <n v="1.831446331"/>
    <n v="4.0496682369999997"/>
    <n v="1.2111858639999999"/>
  </r>
  <r>
    <x v="0"/>
    <x v="15"/>
    <x v="15"/>
    <x v="15"/>
    <n v="42262965768"/>
    <n v="80569106208"/>
    <x v="15"/>
    <n v="1.0868391669999999"/>
    <n v="2.2859431739999998"/>
    <n v="1.1032948060000001"/>
  </r>
  <r>
    <x v="0"/>
    <x v="16"/>
    <x v="16"/>
    <x v="16"/>
    <n v="36066540496"/>
    <n v="64427162211"/>
    <x v="16"/>
    <n v="1.7652713440000001"/>
    <n v="4.010187943"/>
    <n v="1.2717119130000001"/>
  </r>
  <r>
    <x v="0"/>
    <x v="17"/>
    <x v="17"/>
    <x v="17"/>
    <n v="17059669622"/>
    <n v="65938237159"/>
    <x v="17"/>
    <n v="1.705958471"/>
    <n v="2.3013746089999998"/>
    <n v="0.34902147300000003"/>
  </r>
  <r>
    <x v="0"/>
    <x v="18"/>
    <x v="18"/>
    <x v="18"/>
    <n v="27027656894"/>
    <n v="48359524775"/>
    <x v="18"/>
    <n v="2.9047627130000002"/>
    <n v="6.5851216199999998"/>
    <n v="1.267008452"/>
  </r>
  <r>
    <x v="0"/>
    <x v="19"/>
    <x v="19"/>
    <x v="19"/>
    <n v="14660160673"/>
    <n v="40260511363"/>
    <x v="19"/>
    <n v="4.2472456540000003"/>
    <n v="6.6794507620000001"/>
    <n v="0.57265468200000003"/>
  </r>
  <r>
    <x v="0"/>
    <x v="20"/>
    <x v="20"/>
    <x v="20"/>
    <n v="26847350661"/>
    <n v="44033610784"/>
    <x v="20"/>
    <n v="5.6031890410000003"/>
    <n v="14.35615681"/>
    <n v="1.5621403650000001"/>
  </r>
  <r>
    <x v="0"/>
    <x v="21"/>
    <x v="21"/>
    <x v="21"/>
    <n v="25112871815"/>
    <n v="44050938495"/>
    <x v="21"/>
    <n v="3.3569881910000001"/>
    <n v="7.8085309770000002"/>
    <n v="1.326052561"/>
  </r>
  <r>
    <x v="0"/>
    <x v="22"/>
    <x v="22"/>
    <x v="22"/>
    <n v="10690275300"/>
    <n v="28159139854"/>
    <x v="22"/>
    <n v="3.1578646460000002"/>
    <n v="5.0903567269999996"/>
    <n v="0.61196165700000005"/>
  </r>
  <r>
    <x v="0"/>
    <x v="23"/>
    <x v="23"/>
    <x v="23"/>
    <n v="20072750684"/>
    <n v="67464272122"/>
    <x v="23"/>
    <n v="0.87033925499999998"/>
    <n v="1.238972765"/>
    <n v="0.42355151499999999"/>
  </r>
  <r>
    <x v="0"/>
    <x v="24"/>
    <x v="24"/>
    <x v="24"/>
    <n v="37590881745"/>
    <n v="71858135493"/>
    <x v="24"/>
    <n v="1.562215079"/>
    <n v="3.2759515430000001"/>
    <n v="1.096991373"/>
  </r>
  <r>
    <x v="0"/>
    <x v="25"/>
    <x v="25"/>
    <x v="25"/>
    <n v="39022576433"/>
    <n v="81451183390"/>
    <x v="25"/>
    <n v="2.0413312910000001"/>
    <n v="3.9187911479999999"/>
    <n v="0.91972325399999999"/>
  </r>
  <r>
    <x v="0"/>
    <x v="26"/>
    <x v="26"/>
    <x v="26"/>
    <n v="15998323030"/>
    <n v="33372541902"/>
    <x v="26"/>
    <n v="5.0270883380000004"/>
    <n v="9.6560724499999999"/>
    <n v="0.92080819000000003"/>
  </r>
  <r>
    <x v="0"/>
    <x v="27"/>
    <x v="27"/>
    <x v="27"/>
    <n v="32384571623"/>
    <n v="78417189252"/>
    <x v="27"/>
    <n v="1.888679725"/>
    <n v="3.2173915590000002"/>
    <n v="0.70351357999999997"/>
  </r>
  <r>
    <x v="0"/>
    <x v="28"/>
    <x v="28"/>
    <x v="28"/>
    <n v="30910642675"/>
    <n v="64531416585"/>
    <x v="28"/>
    <n v="1.61058696"/>
    <n v="3.0913463889999999"/>
    <n v="0.91939117000000004"/>
  </r>
  <r>
    <x v="0"/>
    <x v="29"/>
    <x v="29"/>
    <x v="29"/>
    <n v="24545656357"/>
    <n v="68124372355"/>
    <x v="29"/>
    <n v="2.2406235730000001"/>
    <n v="3.5026519509999998"/>
    <n v="0.56324872800000003"/>
  </r>
  <r>
    <x v="0"/>
    <x v="30"/>
    <x v="30"/>
    <x v="30"/>
    <n v="31255665329"/>
    <n v="70790020629"/>
    <x v="30"/>
    <n v="1.371083678"/>
    <n v="2.4550556370000001"/>
    <n v="0.79059504300000005"/>
  </r>
  <r>
    <x v="0"/>
    <x v="31"/>
    <x v="31"/>
    <x v="31"/>
    <n v="14632441063"/>
    <n v="32642980976"/>
    <x v="31"/>
    <n v="6.4550592470000003"/>
    <n v="11.699392530000001"/>
    <n v="0.81243766900000003"/>
  </r>
  <r>
    <x v="1"/>
    <x v="0"/>
    <x v="32"/>
    <x v="32"/>
    <n v="16063730954"/>
    <n v="53272532961"/>
    <x v="32"/>
    <n v="2.8526851560000002"/>
    <n v="4.084242325"/>
    <n v="0.43171857400000002"/>
  </r>
  <r>
    <x v="1"/>
    <x v="1"/>
    <x v="33"/>
    <x v="33"/>
    <n v="47957169639"/>
    <n v="95650487131"/>
    <x v="33"/>
    <n v="0.77006446799999995"/>
    <n v="1.544389137"/>
    <n v="1.005532267"/>
  </r>
  <r>
    <x v="1"/>
    <x v="2"/>
    <x v="34"/>
    <x v="34"/>
    <n v="24982736979"/>
    <n v="39727077870"/>
    <x v="34"/>
    <n v="1.481665411"/>
    <n v="3.9921918230000002"/>
    <n v="1.6943949659999999"/>
  </r>
  <r>
    <x v="1"/>
    <x v="3"/>
    <x v="35"/>
    <x v="35"/>
    <n v="45009303223"/>
    <n v="75268101508"/>
    <x v="35"/>
    <n v="1.6963892819999999"/>
    <n v="4.219731382"/>
    <n v="1.487478214"/>
  </r>
  <r>
    <x v="1"/>
    <x v="4"/>
    <x v="36"/>
    <x v="36"/>
    <n v="45296373926"/>
    <n v="72972094010"/>
    <x v="36"/>
    <n v="1.729588508"/>
    <n v="4.5603762000000003"/>
    <n v="1.63668276"/>
  </r>
  <r>
    <x v="1"/>
    <x v="5"/>
    <x v="37"/>
    <x v="37"/>
    <n v="33163887180"/>
    <n v="56794362553"/>
    <x v="37"/>
    <n v="2.3599900109999998"/>
    <n v="5.672087683"/>
    <n v="1.4034371569999999"/>
  </r>
  <r>
    <x v="1"/>
    <x v="6"/>
    <x v="38"/>
    <x v="38"/>
    <n v="28126694879"/>
    <n v="40432233302"/>
    <x v="38"/>
    <n v="1.833375687"/>
    <n v="6.0239114249999997"/>
    <n v="2.2856939619999999"/>
  </r>
  <r>
    <x v="1"/>
    <x v="7"/>
    <x v="39"/>
    <x v="39"/>
    <n v="47796930083"/>
    <n v="86681431720"/>
    <x v="39"/>
    <n v="1.3019399709999999"/>
    <n v="2.9022879540000002"/>
    <n v="1.229202589"/>
  </r>
  <r>
    <x v="1"/>
    <x v="8"/>
    <x v="40"/>
    <x v="40"/>
    <n v="35825693285"/>
    <n v="75665486452"/>
    <x v="40"/>
    <n v="1.920682647"/>
    <n v="3.6478449120000001"/>
    <n v="0.89924395800000001"/>
  </r>
  <r>
    <x v="1"/>
    <x v="9"/>
    <x v="41"/>
    <x v="41"/>
    <n v="19919552350"/>
    <n v="37424903073"/>
    <x v="41"/>
    <n v="1.9602645780000001"/>
    <n v="4.1908735789999998"/>
    <n v="1.137912211"/>
  </r>
  <r>
    <x v="1"/>
    <x v="10"/>
    <x v="42"/>
    <x v="42"/>
    <n v="29781715108"/>
    <n v="63506323345"/>
    <x v="42"/>
    <n v="2.0821079469999999"/>
    <n v="3.9207874440000001"/>
    <n v="0.88308557700000001"/>
  </r>
  <r>
    <x v="1"/>
    <x v="11"/>
    <x v="43"/>
    <x v="43"/>
    <n v="29126693633"/>
    <n v="55130546327"/>
    <x v="43"/>
    <n v="2.5611393219999998"/>
    <n v="5.429849634"/>
    <n v="1.1200914719999999"/>
  </r>
  <r>
    <x v="1"/>
    <x v="12"/>
    <x v="44"/>
    <x v="44"/>
    <n v="19623471264"/>
    <n v="54178518349"/>
    <x v="44"/>
    <n v="1.541583913"/>
    <n v="2.4170342499999999"/>
    <n v="0.567890161"/>
  </r>
  <r>
    <x v="1"/>
    <x v="13"/>
    <x v="45"/>
    <x v="45"/>
    <n v="14328955584"/>
    <n v="29444881442"/>
    <x v="45"/>
    <n v="1.7921627330000001"/>
    <n v="3.4910213040000002"/>
    <n v="0.94793767299999998"/>
  </r>
  <r>
    <x v="1"/>
    <x v="14"/>
    <x v="46"/>
    <x v="46"/>
    <n v="33647832225"/>
    <n v="72644583109"/>
    <x v="46"/>
    <n v="1.3500184070000001"/>
    <n v="2.5148639849999999"/>
    <n v="0.86283681199999995"/>
  </r>
  <r>
    <x v="1"/>
    <x v="15"/>
    <x v="47"/>
    <x v="47"/>
    <n v="10137976567"/>
    <n v="39067986912"/>
    <x v="47"/>
    <n v="4.8476663819999999"/>
    <n v="6.5464396479999998"/>
    <n v="0.35043114199999997"/>
  </r>
  <r>
    <x v="1"/>
    <x v="16"/>
    <x v="48"/>
    <x v="48"/>
    <n v="15918566390"/>
    <n v="49830943520"/>
    <x v="48"/>
    <n v="3.5545558079999999"/>
    <n v="5.2230744260000002"/>
    <n v="0.46940284799999998"/>
  </r>
  <r>
    <x v="1"/>
    <x v="17"/>
    <x v="49"/>
    <x v="49"/>
    <n v="43580496165"/>
    <n v="59758020643"/>
    <x v="49"/>
    <n v="1.525398166"/>
    <n v="5.6346553659999996"/>
    <n v="2.6938915300000001"/>
  </r>
  <r>
    <x v="1"/>
    <x v="18"/>
    <x v="50"/>
    <x v="50"/>
    <n v="23713313938"/>
    <n v="47556455590"/>
    <x v="50"/>
    <n v="4.3599059249999996"/>
    <n v="8.6960718319999994"/>
    <n v="0.99455492400000001"/>
  </r>
  <r>
    <x v="1"/>
    <x v="19"/>
    <x v="51"/>
    <x v="51"/>
    <n v="21808491986"/>
    <n v="40095375980"/>
    <x v="51"/>
    <n v="2.3029941960000002"/>
    <n v="5.0494889230000002"/>
    <n v="1.192575618"/>
  </r>
  <r>
    <x v="1"/>
    <x v="20"/>
    <x v="52"/>
    <x v="52"/>
    <n v="33021752886"/>
    <n v="60040484961"/>
    <x v="52"/>
    <n v="0.80678986900000005"/>
    <n v="1.7928322779999999"/>
    <n v="1.2221799600000001"/>
  </r>
  <r>
    <x v="1"/>
    <x v="21"/>
    <x v="53"/>
    <x v="53"/>
    <n v="23358323946"/>
    <n v="38107807520"/>
    <x v="53"/>
    <n v="6.8024587810000003"/>
    <n v="17.575312969999999"/>
    <n v="1.5836706300000001"/>
  </r>
  <r>
    <x v="1"/>
    <x v="22"/>
    <x v="54"/>
    <x v="54"/>
    <n v="35555990358"/>
    <n v="69522102895"/>
    <x v="54"/>
    <n v="0.93405227400000002"/>
    <n v="1.9118254480000001"/>
    <n v="1.0468077650000001"/>
  </r>
  <r>
    <x v="1"/>
    <x v="23"/>
    <x v="55"/>
    <x v="55"/>
    <n v="32873432607"/>
    <n v="81487723152"/>
    <x v="55"/>
    <n v="1.127064515"/>
    <n v="1.8891959570000001"/>
    <n v="0.67620924299999996"/>
  </r>
  <r>
    <x v="1"/>
    <x v="24"/>
    <x v="56"/>
    <x v="56"/>
    <n v="47947497289"/>
    <n v="70943083888"/>
    <x v="56"/>
    <n v="1.543810374"/>
    <n v="4.7627690810000001"/>
    <n v="2.0850738940000002"/>
  </r>
  <r>
    <x v="1"/>
    <x v="25"/>
    <x v="57"/>
    <x v="57"/>
    <n v="41679203694"/>
    <n v="52235242339"/>
    <x v="57"/>
    <n v="3.1114757320000002"/>
    <n v="15.396750089999999"/>
    <n v="3.9483754370000002"/>
  </r>
  <r>
    <x v="1"/>
    <x v="26"/>
    <x v="58"/>
    <x v="58"/>
    <n v="24373958388"/>
    <n v="59331553465"/>
    <x v="58"/>
    <n v="1.2722517719999999"/>
    <n v="2.1593211389999998"/>
    <n v="0.69724357000000003"/>
  </r>
  <r>
    <x v="1"/>
    <x v="27"/>
    <x v="59"/>
    <x v="59"/>
    <n v="28551545477"/>
    <n v="64407150986"/>
    <x v="59"/>
    <n v="0.71326057200000004"/>
    <n v="1.2812245310000001"/>
    <n v="0.79629238099999999"/>
  </r>
  <r>
    <x v="1"/>
    <x v="28"/>
    <x v="60"/>
    <x v="60"/>
    <n v="13225063565"/>
    <n v="51661794785"/>
    <x v="60"/>
    <n v="2.1424392019999998"/>
    <n v="2.8795959199999999"/>
    <n v="0.34407357599999999"/>
  </r>
  <r>
    <x v="1"/>
    <x v="29"/>
    <x v="61"/>
    <x v="61"/>
    <n v="36993263217"/>
    <n v="49531602468"/>
    <x v="61"/>
    <n v="1.944577453"/>
    <n v="7.6818815819999999"/>
    <n v="2.950411731"/>
  </r>
  <r>
    <x v="1"/>
    <x v="30"/>
    <x v="62"/>
    <x v="62"/>
    <n v="24477801438"/>
    <n v="72482874961"/>
    <x v="62"/>
    <n v="1.856408241"/>
    <n v="2.8029913629999998"/>
    <n v="0.50990030099999994"/>
  </r>
  <r>
    <x v="1"/>
    <x v="31"/>
    <x v="63"/>
    <x v="63"/>
    <n v="43381572844"/>
    <n v="83248031989"/>
    <x v="63"/>
    <n v="0.63666767800000001"/>
    <n v="1.329471751"/>
    <n v="1.0881722069999999"/>
  </r>
  <r>
    <x v="2"/>
    <x v="0"/>
    <x v="64"/>
    <x v="64"/>
    <n v="19407851173"/>
    <n v="43999960378"/>
    <x v="64"/>
    <n v="2.229642809"/>
    <n v="3.989255027"/>
    <n v="0.78919018299999999"/>
  </r>
  <r>
    <x v="2"/>
    <x v="1"/>
    <x v="65"/>
    <x v="65"/>
    <n v="22448503705"/>
    <n v="35401436947"/>
    <x v="65"/>
    <n v="5.2700692330000001"/>
    <n v="14.40353472"/>
    <n v="1.7330826370000001"/>
  </r>
  <r>
    <x v="2"/>
    <x v="2"/>
    <x v="66"/>
    <x v="66"/>
    <n v="15187122059"/>
    <n v="38651159578"/>
    <x v="66"/>
    <n v="0.96615098799999999"/>
    <n v="1.5914931940000001"/>
    <n v="0.64725101299999999"/>
  </r>
  <r>
    <x v="2"/>
    <x v="3"/>
    <x v="67"/>
    <x v="67"/>
    <n v="48538978480"/>
    <n v="69583711255"/>
    <x v="67"/>
    <n v="2.2995426239999999"/>
    <n v="7.6033614519999997"/>
    <n v="2.3064668479999999"/>
  </r>
  <r>
    <x v="2"/>
    <x v="4"/>
    <x v="68"/>
    <x v="68"/>
    <n v="40259793264"/>
    <n v="68504291957"/>
    <x v="68"/>
    <n v="2.94190307"/>
    <n v="7.1353005410000003"/>
    <n v="1.425403003"/>
  </r>
  <r>
    <x v="2"/>
    <x v="5"/>
    <x v="69"/>
    <x v="69"/>
    <n v="23626577882"/>
    <n v="54731462963"/>
    <x v="69"/>
    <n v="2.4742489700000001"/>
    <n v="4.3536333760000003"/>
    <n v="0.75957772599999995"/>
  </r>
  <r>
    <x v="2"/>
    <x v="6"/>
    <x v="70"/>
    <x v="70"/>
    <n v="33534009371"/>
    <n v="63852779536"/>
    <x v="70"/>
    <n v="1.582694204"/>
    <n v="3.3332296640000001"/>
    <n v="1.106047811"/>
  </r>
  <r>
    <x v="2"/>
    <x v="7"/>
    <x v="71"/>
    <x v="71"/>
    <n v="25112465464"/>
    <n v="47584136480"/>
    <x v="71"/>
    <n v="2.2928764199999998"/>
    <n v="4.8552038880000001"/>
    <n v="1.1175166030000001"/>
  </r>
  <r>
    <x v="2"/>
    <x v="8"/>
    <x v="72"/>
    <x v="72"/>
    <n v="31388781794"/>
    <n v="60735397643"/>
    <x v="72"/>
    <n v="2.1150761029999998"/>
    <n v="4.3773356630000002"/>
    <n v="1.069587783"/>
  </r>
  <r>
    <x v="2"/>
    <x v="9"/>
    <x v="73"/>
    <x v="73"/>
    <n v="26052899280"/>
    <n v="55802879567"/>
    <x v="73"/>
    <n v="1.9200162569999999"/>
    <n v="3.6014288049999998"/>
    <n v="0.87572828700000005"/>
  </r>
  <r>
    <x v="2"/>
    <x v="10"/>
    <x v="74"/>
    <x v="74"/>
    <n v="14820437742"/>
    <n v="51140549989"/>
    <x v="74"/>
    <n v="1.7458783899999999"/>
    <n v="2.458284833"/>
    <n v="0.40805043899999999"/>
  </r>
  <r>
    <x v="2"/>
    <x v="11"/>
    <x v="75"/>
    <x v="75"/>
    <n v="18132341778"/>
    <n v="46620472331"/>
    <x v="75"/>
    <n v="3.0409435139999998"/>
    <n v="4.9764663450000004"/>
    <n v="0.63648759799999999"/>
  </r>
  <r>
    <x v="2"/>
    <x v="12"/>
    <x v="76"/>
    <x v="76"/>
    <n v="12187372783"/>
    <n v="46576570031"/>
    <x v="76"/>
    <n v="1.364787416"/>
    <n v="1.8484617780000001"/>
    <n v="0.35439538500000001"/>
  </r>
  <r>
    <x v="2"/>
    <x v="13"/>
    <x v="77"/>
    <x v="77"/>
    <n v="33743352626"/>
    <n v="56826390011"/>
    <x v="77"/>
    <n v="2.8250848579999999"/>
    <n v="6.9548634900000001"/>
    <n v="1.4618246319999999"/>
  </r>
  <r>
    <x v="2"/>
    <x v="14"/>
    <x v="78"/>
    <x v="78"/>
    <n v="30114206666"/>
    <n v="72398006770"/>
    <x v="78"/>
    <n v="3.1658710700000001"/>
    <n v="5.4205808040000001"/>
    <n v="0.71219253199999999"/>
  </r>
  <r>
    <x v="2"/>
    <x v="15"/>
    <x v="79"/>
    <x v="79"/>
    <n v="39497490703"/>
    <n v="77791788915"/>
    <x v="79"/>
    <n v="1.4927358529999999"/>
    <n v="3.0323729080000001"/>
    <n v="1.0314196250000001"/>
  </r>
  <r>
    <x v="2"/>
    <x v="16"/>
    <x v="80"/>
    <x v="80"/>
    <n v="39148815906"/>
    <n v="54906293986"/>
    <x v="80"/>
    <n v="0.95227354900000005"/>
    <n v="3.3181586030000001"/>
    <n v="2.4844594870000001"/>
  </r>
  <r>
    <x v="2"/>
    <x v="17"/>
    <x v="81"/>
    <x v="81"/>
    <n v="10477167725"/>
    <n v="40916062724"/>
    <x v="81"/>
    <n v="5.8724623129999998"/>
    <n v="7.8937831459999996"/>
    <n v="0.34420328700000002"/>
  </r>
  <r>
    <x v="2"/>
    <x v="18"/>
    <x v="82"/>
    <x v="82"/>
    <n v="49692687138"/>
    <n v="70778247625"/>
    <x v="82"/>
    <n v="1.2896934950000001"/>
    <n v="4.3291353639999999"/>
    <n v="2.3567164439999999"/>
  </r>
  <r>
    <x v="2"/>
    <x v="19"/>
    <x v="83"/>
    <x v="83"/>
    <n v="41223028779"/>
    <n v="68933524997"/>
    <x v="83"/>
    <n v="1.95855493"/>
    <n v="4.8721644749999999"/>
    <n v="1.487632284"/>
  </r>
  <r>
    <x v="2"/>
    <x v="20"/>
    <x v="84"/>
    <x v="84"/>
    <n v="16356578486"/>
    <n v="32583061956"/>
    <x v="84"/>
    <n v="7.3682552179999998"/>
    <n v="14.79558505"/>
    <n v="1.0080174500000001"/>
  </r>
  <r>
    <x v="2"/>
    <x v="21"/>
    <x v="85"/>
    <x v="85"/>
    <n v="45657380068"/>
    <n v="93604660446"/>
    <x v="85"/>
    <n v="0.52143230200000001"/>
    <n v="1.0179616680000001"/>
    <n v="0.95224128900000005"/>
  </r>
  <r>
    <x v="2"/>
    <x v="22"/>
    <x v="86"/>
    <x v="86"/>
    <n v="18754849198"/>
    <n v="52873275455"/>
    <x v="86"/>
    <n v="3.9471625970000002"/>
    <n v="6.1169121249999998"/>
    <n v="0.54969854299999998"/>
  </r>
  <r>
    <x v="2"/>
    <x v="23"/>
    <x v="87"/>
    <x v="87"/>
    <n v="34718393733"/>
    <n v="62464433746"/>
    <x v="87"/>
    <n v="3.2716368469999999"/>
    <n v="7.3654093700000001"/>
    <n v="1.2512918500000001"/>
  </r>
  <r>
    <x v="2"/>
    <x v="24"/>
    <x v="88"/>
    <x v="88"/>
    <n v="32236390204"/>
    <n v="47068791910"/>
    <x v="88"/>
    <n v="3.249791809"/>
    <n v="10.312812279999999"/>
    <n v="2.1733762909999998"/>
  </r>
  <r>
    <x v="2"/>
    <x v="25"/>
    <x v="89"/>
    <x v="89"/>
    <n v="42312531626"/>
    <n v="58725506361"/>
    <x v="89"/>
    <n v="0.73409493199999998"/>
    <n v="2.626586423"/>
    <n v="2.5779928569999999"/>
  </r>
  <r>
    <x v="2"/>
    <x v="26"/>
    <x v="90"/>
    <x v="90"/>
    <n v="18499451286"/>
    <n v="30329911272"/>
    <x v="90"/>
    <n v="6.0544612569999998"/>
    <n v="15.52190472"/>
    <n v="1.5637136089999999"/>
  </r>
  <r>
    <x v="2"/>
    <x v="27"/>
    <x v="91"/>
    <x v="91"/>
    <n v="32850325731"/>
    <n v="66248470463"/>
    <x v="91"/>
    <n v="2.5997925230000001"/>
    <n v="5.1569414870000001"/>
    <n v="0.98359732200000005"/>
  </r>
  <r>
    <x v="2"/>
    <x v="28"/>
    <x v="92"/>
    <x v="92"/>
    <n v="48264388990"/>
    <n v="86904149774"/>
    <x v="92"/>
    <n v="1.157664161"/>
    <n v="2.6036863979999998"/>
    <n v="1.2490861230000001"/>
  </r>
  <r>
    <x v="2"/>
    <x v="29"/>
    <x v="93"/>
    <x v="93"/>
    <n v="21561018412"/>
    <n v="57150274352"/>
    <x v="93"/>
    <n v="1.5132498489999999"/>
    <n v="2.4300211329999999"/>
    <n v="0.60582942399999995"/>
  </r>
  <r>
    <x v="2"/>
    <x v="30"/>
    <x v="94"/>
    <x v="94"/>
    <n v="48008203569"/>
    <n v="67570965703"/>
    <x v="94"/>
    <n v="1.7717284200000001"/>
    <n v="6.11965731"/>
    <n v="2.454060589"/>
  </r>
  <r>
    <x v="2"/>
    <x v="31"/>
    <x v="95"/>
    <x v="95"/>
    <n v="23852825717"/>
    <n v="41830939577"/>
    <x v="95"/>
    <n v="1.5100880459999999"/>
    <n v="3.513627863"/>
    <n v="1.3267701999999999"/>
  </r>
  <r>
    <x v="3"/>
    <x v="0"/>
    <x v="96"/>
    <x v="96"/>
    <n v="34543581067"/>
    <n v="80126669599"/>
    <x v="96"/>
    <n v="1.3497876550000001"/>
    <n v="2.3726779589999998"/>
    <n v="0.75781571999999997"/>
  </r>
  <r>
    <x v="3"/>
    <x v="1"/>
    <x v="97"/>
    <x v="97"/>
    <n v="13575717212"/>
    <n v="61177654063"/>
    <x v="97"/>
    <n v="0.86054531899999998"/>
    <n v="1.1059664229999999"/>
    <n v="0.28519253900000002"/>
  </r>
  <r>
    <x v="3"/>
    <x v="2"/>
    <x v="98"/>
    <x v="98"/>
    <n v="49769403556"/>
    <n v="87097998229"/>
    <x v="98"/>
    <n v="2.1317045700000001"/>
    <n v="4.9738599189999997"/>
    <n v="1.333278255"/>
  </r>
  <r>
    <x v="3"/>
    <x v="3"/>
    <x v="99"/>
    <x v="99"/>
    <n v="35382107627"/>
    <n v="67327482638"/>
    <x v="99"/>
    <n v="1.42614028"/>
    <n v="3.0057069269999999"/>
    <n v="1.1075815389999999"/>
  </r>
  <r>
    <x v="3"/>
    <x v="4"/>
    <x v="100"/>
    <x v="100"/>
    <n v="48776154787"/>
    <n v="95122657900"/>
    <x v="100"/>
    <n v="0.78143593099999997"/>
    <n v="1.6038375659999999"/>
    <n v="1.052423624"/>
  </r>
  <r>
    <x v="3"/>
    <x v="5"/>
    <x v="101"/>
    <x v="101"/>
    <n v="16852576890"/>
    <n v="50991540077"/>
    <x v="101"/>
    <n v="2.290068378"/>
    <n v="3.4205524299999999"/>
    <n v="0.49364641799999998"/>
  </r>
  <r>
    <x v="3"/>
    <x v="6"/>
    <x v="102"/>
    <x v="102"/>
    <n v="49486716701"/>
    <n v="66912699732"/>
    <x v="102"/>
    <n v="0.64291665899999995"/>
    <n v="2.4686865170000001"/>
    <n v="2.8398235330000001"/>
  </r>
  <r>
    <x v="3"/>
    <x v="7"/>
    <x v="103"/>
    <x v="103"/>
    <n v="33315961378"/>
    <n v="60538144207"/>
    <x v="103"/>
    <n v="1.0223035620000001"/>
    <n v="2.2734532669999998"/>
    <n v="1.2238534139999999"/>
  </r>
  <r>
    <x v="3"/>
    <x v="8"/>
    <x v="104"/>
    <x v="104"/>
    <n v="38023980809"/>
    <n v="86825852703"/>
    <x v="104"/>
    <n v="1.177762059"/>
    <n v="2.095415424"/>
    <n v="0.77915004799999998"/>
  </r>
  <r>
    <x v="3"/>
    <x v="9"/>
    <x v="105"/>
    <x v="105"/>
    <n v="19531535755"/>
    <n v="37657712776"/>
    <x v="105"/>
    <n v="2.0779894510000001"/>
    <n v="4.317089577"/>
    <n v="1.0775319990000001"/>
  </r>
  <r>
    <x v="3"/>
    <x v="10"/>
    <x v="106"/>
    <x v="106"/>
    <n v="20380748219"/>
    <n v="31832927467"/>
    <x v="106"/>
    <n v="2.3184163170000001"/>
    <n v="6.4443611010000001"/>
    <n v="1.779639296"/>
  </r>
  <r>
    <x v="3"/>
    <x v="11"/>
    <x v="107"/>
    <x v="107"/>
    <n v="40538252302"/>
    <n v="78168514026"/>
    <x v="107"/>
    <n v="1.464228377"/>
    <n v="3.0416093649999998"/>
    <n v="1.077277979"/>
  </r>
  <r>
    <x v="3"/>
    <x v="12"/>
    <x v="108"/>
    <x v="108"/>
    <n v="40800355871"/>
    <n v="78928197945"/>
    <x v="108"/>
    <n v="1.324569559"/>
    <n v="2.7419828310000001"/>
    <n v="1.070093497"/>
  </r>
  <r>
    <x v="3"/>
    <x v="13"/>
    <x v="109"/>
    <x v="109"/>
    <n v="15058770523"/>
    <n v="36892503606"/>
    <x v="109"/>
    <n v="7.4067839820000003"/>
    <n v="12.5152581"/>
    <n v="0.68970205299999998"/>
  </r>
  <r>
    <x v="3"/>
    <x v="14"/>
    <x v="110"/>
    <x v="110"/>
    <n v="46174948427"/>
    <n v="92567055368"/>
    <x v="110"/>
    <n v="0.86795755500000005"/>
    <n v="1.731852256"/>
    <n v="0.99531906299999995"/>
  </r>
  <r>
    <x v="3"/>
    <x v="15"/>
    <x v="111"/>
    <x v="111"/>
    <n v="29150494667"/>
    <n v="41331347093"/>
    <x v="111"/>
    <n v="2.3287392979999999"/>
    <n v="7.901740276"/>
    <n v="2.3931407789999999"/>
  </r>
  <r>
    <x v="3"/>
    <x v="16"/>
    <x v="112"/>
    <x v="112"/>
    <n v="36333752143"/>
    <n v="50307101979"/>
    <x v="112"/>
    <n v="1.4762890500000001"/>
    <n v="5.3149620290000001"/>
    <n v="2.6002177409999998"/>
  </r>
  <r>
    <x v="3"/>
    <x v="17"/>
    <x v="113"/>
    <x v="113"/>
    <n v="16704351188"/>
    <n v="36319540470"/>
    <x v="113"/>
    <n v="4.3265640809999999"/>
    <n v="8.0110784020000008"/>
    <n v="0.85160285499999999"/>
  </r>
  <r>
    <x v="3"/>
    <x v="18"/>
    <x v="114"/>
    <x v="114"/>
    <n v="34109472155"/>
    <n v="60179867780"/>
    <x v="114"/>
    <n v="2.077943587"/>
    <n v="4.7966426020000004"/>
    <n v="1.3083603580000001"/>
  </r>
  <r>
    <x v="3"/>
    <x v="19"/>
    <x v="115"/>
    <x v="115"/>
    <n v="33230894855"/>
    <n v="73659285546"/>
    <x v="115"/>
    <n v="1.9506091539999999"/>
    <n v="3.5539499399999999"/>
    <n v="0.82196927200000003"/>
  </r>
  <r>
    <x v="3"/>
    <x v="20"/>
    <x v="116"/>
    <x v="116"/>
    <n v="30713910663"/>
    <n v="55316480279"/>
    <x v="116"/>
    <n v="2.031794272"/>
    <n v="4.5682914229999998"/>
    <n v="1.2484025510000001"/>
  </r>
  <r>
    <x v="3"/>
    <x v="21"/>
    <x v="117"/>
    <x v="117"/>
    <n v="22546412228"/>
    <n v="53277235987"/>
    <x v="117"/>
    <n v="2.6261637549999999"/>
    <n v="4.5529123199999999"/>
    <n v="0.73367419"/>
  </r>
  <r>
    <x v="3"/>
    <x v="22"/>
    <x v="118"/>
    <x v="118"/>
    <n v="25317192992"/>
    <n v="38617124033"/>
    <x v="118"/>
    <n v="4.18207547"/>
    <n v="12.142899590000001"/>
    <n v="1.9035582150000001"/>
  </r>
  <r>
    <x v="3"/>
    <x v="23"/>
    <x v="119"/>
    <x v="119"/>
    <n v="35338248318"/>
    <n v="45898916976"/>
    <x v="119"/>
    <n v="2.383062802"/>
    <n v="10.35729888"/>
    <n v="3.3462131479999999"/>
  </r>
  <r>
    <x v="3"/>
    <x v="24"/>
    <x v="120"/>
    <x v="120"/>
    <n v="47081333393"/>
    <n v="64537094762"/>
    <x v="120"/>
    <n v="3.1138116180000002"/>
    <n v="11.512322559999999"/>
    <n v="2.6971801690000001"/>
  </r>
  <r>
    <x v="3"/>
    <x v="25"/>
    <x v="121"/>
    <x v="121"/>
    <n v="42361743521"/>
    <n v="64353154119"/>
    <x v="121"/>
    <n v="2.3831417539999999"/>
    <n v="6.9737540439999997"/>
    <n v="1.9262858709999999"/>
  </r>
  <r>
    <x v="3"/>
    <x v="26"/>
    <x v="122"/>
    <x v="122"/>
    <n v="10865997336"/>
    <n v="56007965536"/>
    <x v="122"/>
    <n v="3.222533152"/>
    <n v="3.9982201239999999"/>
    <n v="0.240707213"/>
  </r>
  <r>
    <x v="3"/>
    <x v="27"/>
    <x v="123"/>
    <x v="123"/>
    <n v="32716601950"/>
    <n v="78863289364"/>
    <x v="123"/>
    <n v="0.76456365599999998"/>
    <n v="1.3066161030000001"/>
    <n v="0.70896967399999999"/>
  </r>
  <r>
    <x v="3"/>
    <x v="28"/>
    <x v="124"/>
    <x v="124"/>
    <n v="38842203399"/>
    <n v="87315704066"/>
    <x v="124"/>
    <n v="2.4390281539999998"/>
    <n v="4.393440901"/>
    <n v="0.80130798999999997"/>
  </r>
  <r>
    <x v="3"/>
    <x v="29"/>
    <x v="125"/>
    <x v="125"/>
    <n v="12109060417"/>
    <n v="56333682316"/>
    <x v="125"/>
    <n v="3.8735505429999999"/>
    <n v="4.9341601209999997"/>
    <n v="0.27380811599999999"/>
  </r>
  <r>
    <x v="3"/>
    <x v="30"/>
    <x v="126"/>
    <x v="126"/>
    <n v="33643521649"/>
    <n v="69399402463"/>
    <x v="126"/>
    <n v="3.8032630350000001"/>
    <n v="7.3818397429999996"/>
    <n v="0.94092274799999998"/>
  </r>
  <r>
    <x v="3"/>
    <x v="31"/>
    <x v="127"/>
    <x v="127"/>
    <n v="29243056689"/>
    <n v="57427208762"/>
    <x v="127"/>
    <n v="1.2328109819999999"/>
    <n v="2.511939811"/>
    <n v="1.0375709230000001"/>
  </r>
  <r>
    <x v="4"/>
    <x v="0"/>
    <x v="128"/>
    <x v="128"/>
    <n v="19360624506"/>
    <n v="64506392372"/>
    <x v="128"/>
    <n v="3.255827204"/>
    <n v="4.6520787449999998"/>
    <n v="0.42884694200000001"/>
  </r>
  <r>
    <x v="4"/>
    <x v="1"/>
    <x v="129"/>
    <x v="129"/>
    <n v="16542748372"/>
    <n v="53339154988"/>
    <x v="129"/>
    <n v="2.394086384"/>
    <n v="3.4704080209999999"/>
    <n v="0.44957510499999997"/>
  </r>
  <r>
    <x v="4"/>
    <x v="2"/>
    <x v="130"/>
    <x v="130"/>
    <n v="27483087953"/>
    <n v="52090363015"/>
    <x v="130"/>
    <n v="2.3748084249999999"/>
    <n v="5.0271569129999998"/>
    <n v="1.1168684010000001"/>
  </r>
  <r>
    <x v="4"/>
    <x v="3"/>
    <x v="131"/>
    <x v="131"/>
    <n v="28309420014"/>
    <n v="68036567115"/>
    <x v="131"/>
    <n v="2.641347127"/>
    <n v="4.5235614489999998"/>
    <n v="0.71259634999999999"/>
  </r>
  <r>
    <x v="4"/>
    <x v="4"/>
    <x v="132"/>
    <x v="132"/>
    <n v="20620789244"/>
    <n v="35863861269"/>
    <x v="132"/>
    <n v="3.7092633460000002"/>
    <n v="8.7271454100000003"/>
    <n v="1.3527974679999999"/>
  </r>
  <r>
    <x v="4"/>
    <x v="5"/>
    <x v="133"/>
    <x v="133"/>
    <n v="15796422658"/>
    <n v="55141147698"/>
    <x v="133"/>
    <n v="1.6373128020000001"/>
    <n v="2.2946737320000001"/>
    <n v="0.40148768699999998"/>
  </r>
  <r>
    <x v="4"/>
    <x v="6"/>
    <x v="134"/>
    <x v="134"/>
    <n v="11017913220"/>
    <n v="31498369926"/>
    <x v="134"/>
    <n v="9.1560519239999998"/>
    <n v="14.08175192"/>
    <n v="0.53797204700000001"/>
  </r>
  <r>
    <x v="4"/>
    <x v="7"/>
    <x v="135"/>
    <x v="135"/>
    <n v="42708053991"/>
    <n v="57050114588"/>
    <x v="135"/>
    <n v="1.24252735"/>
    <n v="4.9425483339999996"/>
    <n v="2.9778185430000002"/>
  </r>
  <r>
    <x v="4"/>
    <x v="8"/>
    <x v="136"/>
    <x v="136"/>
    <n v="46117811894"/>
    <n v="82240340578"/>
    <x v="136"/>
    <n v="1.378684939"/>
    <n v="3.1388588529999999"/>
    <n v="1.2767049699999999"/>
  </r>
  <r>
    <x v="4"/>
    <x v="9"/>
    <x v="137"/>
    <x v="137"/>
    <n v="19270767207"/>
    <n v="53405386175"/>
    <x v="137"/>
    <n v="2.834891963"/>
    <n v="4.4353358739999997"/>
    <n v="0.564551994"/>
  </r>
  <r>
    <x v="4"/>
    <x v="10"/>
    <x v="138"/>
    <x v="138"/>
    <n v="33765326378"/>
    <n v="50383426520"/>
    <x v="138"/>
    <n v="1.094770928"/>
    <n v="3.3191706710000002"/>
    <n v="2.0318403479999998"/>
  </r>
  <r>
    <x v="4"/>
    <x v="11"/>
    <x v="139"/>
    <x v="139"/>
    <n v="31860731568"/>
    <n v="65500282723"/>
    <x v="139"/>
    <n v="1.8696638919999999"/>
    <n v="3.6404621750000001"/>
    <n v="0.94712118499999998"/>
  </r>
  <r>
    <x v="4"/>
    <x v="12"/>
    <x v="140"/>
    <x v="140"/>
    <n v="37635556954"/>
    <n v="86394249061"/>
    <x v="140"/>
    <n v="1.3864180699999999"/>
    <n v="2.4565578540000002"/>
    <n v="0.77187380000000005"/>
  </r>
  <r>
    <x v="4"/>
    <x v="13"/>
    <x v="141"/>
    <x v="141"/>
    <n v="43298236595"/>
    <n v="83113769380"/>
    <x v="141"/>
    <n v="1.268275622"/>
    <n v="2.6474885609999999"/>
    <n v="1.087470983"/>
  </r>
  <r>
    <x v="4"/>
    <x v="14"/>
    <x v="142"/>
    <x v="142"/>
    <n v="49603599758"/>
    <n v="91937242355"/>
    <x v="142"/>
    <n v="2.6304142069999998"/>
    <n v="5.7125494889999997"/>
    <n v="1.171730017"/>
  </r>
  <r>
    <x v="4"/>
    <x v="15"/>
    <x v="143"/>
    <x v="143"/>
    <n v="37122614462"/>
    <n v="82673694404"/>
    <x v="143"/>
    <n v="1.7025059819999999"/>
    <n v="3.0899917069999998"/>
    <n v="0.814966725"/>
  </r>
  <r>
    <x v="4"/>
    <x v="16"/>
    <x v="144"/>
    <x v="144"/>
    <n v="21424039042"/>
    <n v="52878014917"/>
    <x v="144"/>
    <n v="1.873642035"/>
    <n v="3.1498234699999998"/>
    <n v="0.68112340199999999"/>
  </r>
  <r>
    <x v="4"/>
    <x v="17"/>
    <x v="145"/>
    <x v="145"/>
    <n v="31667361119"/>
    <n v="58519002305"/>
    <x v="145"/>
    <n v="2.3471328480000002"/>
    <n v="5.1152133160000002"/>
    <n v="1.17934546"/>
  </r>
  <r>
    <x v="4"/>
    <x v="18"/>
    <x v="146"/>
    <x v="146"/>
    <n v="37937729306"/>
    <n v="85517814001"/>
    <x v="146"/>
    <n v="0.77019442800000004"/>
    <n v="1.384304888"/>
    <n v="0.79734472000000001"/>
  </r>
  <r>
    <x v="4"/>
    <x v="19"/>
    <x v="147"/>
    <x v="147"/>
    <n v="12423193661"/>
    <n v="54396450621"/>
    <x v="147"/>
    <n v="4.9685418759999997"/>
    <n v="6.4391248709999998"/>
    <n v="0.29597878700000002"/>
  </r>
  <r>
    <x v="4"/>
    <x v="20"/>
    <x v="148"/>
    <x v="148"/>
    <n v="19566830326"/>
    <n v="62928514411"/>
    <x v="148"/>
    <n v="0.80231994900000003"/>
    <n v="1.164364427"/>
    <n v="0.45124701099999998"/>
  </r>
  <r>
    <x v="4"/>
    <x v="21"/>
    <x v="149"/>
    <x v="149"/>
    <n v="27001572213"/>
    <n v="45570891422"/>
    <x v="149"/>
    <n v="2.6793986890000001"/>
    <n v="6.5755015219999997"/>
    <n v="1.4540959689999999"/>
  </r>
  <r>
    <x v="4"/>
    <x v="22"/>
    <x v="150"/>
    <x v="150"/>
    <n v="46662383110"/>
    <n v="69619249891"/>
    <x v="150"/>
    <n v="0.81839680000000004"/>
    <n v="2.4818792510000001"/>
    <n v="2.032611138"/>
  </r>
  <r>
    <x v="4"/>
    <x v="23"/>
    <x v="151"/>
    <x v="151"/>
    <n v="11167034881"/>
    <n v="30031637051"/>
    <x v="151"/>
    <n v="5.6747222500000003"/>
    <n v="9.0339142819999996"/>
    <n v="0.59195708300000005"/>
  </r>
  <r>
    <x v="4"/>
    <x v="24"/>
    <x v="152"/>
    <x v="152"/>
    <n v="36704020555"/>
    <n v="77712763784"/>
    <x v="152"/>
    <n v="0.89006278800000005"/>
    <n v="1.6866949280000001"/>
    <n v="0.89502914899999997"/>
  </r>
  <r>
    <x v="4"/>
    <x v="25"/>
    <x v="153"/>
    <x v="153"/>
    <n v="11911955269"/>
    <n v="57692706612"/>
    <x v="153"/>
    <n v="2.245393499"/>
    <n v="2.8296352640000002"/>
    <n v="0.26019571400000002"/>
  </r>
  <r>
    <x v="4"/>
    <x v="26"/>
    <x v="154"/>
    <x v="154"/>
    <n v="46036015495"/>
    <n v="95477772055"/>
    <x v="154"/>
    <n v="1.026769117"/>
    <n v="1.9828103720000001"/>
    <n v="0.93111609900000003"/>
  </r>
  <r>
    <x v="4"/>
    <x v="27"/>
    <x v="155"/>
    <x v="155"/>
    <n v="18179739764"/>
    <n v="53040583203"/>
    <x v="155"/>
    <n v="1.2897861310000001"/>
    <n v="1.9624025650000001"/>
    <n v="0.52149454699999997"/>
  </r>
  <r>
    <x v="4"/>
    <x v="28"/>
    <x v="156"/>
    <x v="156"/>
    <n v="10848294146"/>
    <n v="60234434421"/>
    <x v="156"/>
    <n v="2.3771047489999999"/>
    <n v="2.899266055"/>
    <n v="0.219662725"/>
  </r>
  <r>
    <x v="4"/>
    <x v="29"/>
    <x v="157"/>
    <x v="157"/>
    <n v="29846781652"/>
    <n v="60313552592"/>
    <x v="157"/>
    <n v="1.8977396529999999"/>
    <n v="3.7568608970000001"/>
    <n v="0.97965031199999997"/>
  </r>
  <r>
    <x v="4"/>
    <x v="30"/>
    <x v="158"/>
    <x v="158"/>
    <n v="41199120058"/>
    <n v="58775396940"/>
    <x v="158"/>
    <n v="2.938866617"/>
    <n v="9.8276246510000007"/>
    <n v="2.3440186070000002"/>
  </r>
  <r>
    <x v="4"/>
    <x v="31"/>
    <x v="159"/>
    <x v="159"/>
    <n v="43259483243"/>
    <n v="88221659272"/>
    <x v="159"/>
    <n v="2.1700953850000002"/>
    <n v="4.258010455"/>
    <n v="0.96213055199999997"/>
  </r>
  <r>
    <x v="5"/>
    <x v="0"/>
    <x v="160"/>
    <x v="160"/>
    <n v="21828517855"/>
    <n v="62780698314"/>
    <x v="160"/>
    <n v="2.1482885669999998"/>
    <n v="3.2933791289999998"/>
    <n v="0.53302455699999995"/>
  </r>
  <r>
    <x v="5"/>
    <x v="1"/>
    <x v="161"/>
    <x v="161"/>
    <n v="44651352138"/>
    <n v="77649206644"/>
    <x v="161"/>
    <n v="1.1904125560000001"/>
    <n v="2.8012303209999998"/>
    <n v="1.353159252"/>
  </r>
  <r>
    <x v="5"/>
    <x v="2"/>
    <x v="162"/>
    <x v="162"/>
    <n v="16591763093"/>
    <n v="32355610354"/>
    <x v="162"/>
    <n v="3.5959513250000001"/>
    <n v="7.3807616879999998"/>
    <n v="1.0525199089999999"/>
  </r>
  <r>
    <x v="5"/>
    <x v="3"/>
    <x v="163"/>
    <x v="163"/>
    <n v="36680109736"/>
    <n v="61941763399"/>
    <x v="163"/>
    <n v="2.3016490809999999"/>
    <n v="5.6436607319999998"/>
    <n v="1.4520074670000001"/>
  </r>
  <r>
    <x v="5"/>
    <x v="4"/>
    <x v="164"/>
    <x v="164"/>
    <n v="36127253691"/>
    <n v="72733202053"/>
    <x v="164"/>
    <n v="2.7056807520000001"/>
    <n v="5.3759794149999998"/>
    <n v="0.98692303599999998"/>
  </r>
  <r>
    <x v="5"/>
    <x v="5"/>
    <x v="165"/>
    <x v="165"/>
    <n v="18824834094"/>
    <n v="53785357297"/>
    <x v="165"/>
    <n v="1.9066976550000001"/>
    <n v="2.9333775719999999"/>
    <n v="0.53845973599999997"/>
  </r>
  <r>
    <x v="5"/>
    <x v="6"/>
    <x v="166"/>
    <x v="166"/>
    <n v="18030445293"/>
    <n v="66154405096"/>
    <x v="166"/>
    <n v="1.490876154"/>
    <n v="2.0494578059999999"/>
    <n v="0.37466670200000002"/>
  </r>
  <r>
    <x v="5"/>
    <x v="7"/>
    <x v="167"/>
    <x v="167"/>
    <n v="35514608139"/>
    <n v="56589637247"/>
    <x v="167"/>
    <n v="3.0017278919999999"/>
    <n v="8.0600929029999993"/>
    <n v="1.6851510839999999"/>
  </r>
  <r>
    <x v="5"/>
    <x v="8"/>
    <x v="168"/>
    <x v="168"/>
    <n v="47538352610"/>
    <n v="96220600130"/>
    <x v="168"/>
    <n v="1.1565130159999999"/>
    <n v="2.2858512520000001"/>
    <n v="0.97650283299999996"/>
  </r>
  <r>
    <x v="5"/>
    <x v="9"/>
    <x v="169"/>
    <x v="169"/>
    <n v="29184989731"/>
    <n v="52641709425"/>
    <x v="169"/>
    <n v="1.9673566419999999"/>
    <n v="4.4151534420000003"/>
    <n v="1.2442059299999999"/>
  </r>
  <r>
    <x v="5"/>
    <x v="10"/>
    <x v="170"/>
    <x v="170"/>
    <n v="27344331892"/>
    <n v="73302995160"/>
    <x v="170"/>
    <n v="1.8831127459999999"/>
    <n v="3.003520875"/>
    <n v="0.59497665799999999"/>
  </r>
  <r>
    <x v="5"/>
    <x v="11"/>
    <x v="171"/>
    <x v="171"/>
    <n v="11494162751"/>
    <n v="47776069193"/>
    <x v="171"/>
    <n v="1.6849780219999999"/>
    <n v="2.2187816040000001"/>
    <n v="0.31680151000000001"/>
  </r>
  <r>
    <x v="5"/>
    <x v="12"/>
    <x v="172"/>
    <x v="172"/>
    <n v="32122639453"/>
    <n v="73938353262"/>
    <x v="172"/>
    <n v="2.0312653690000002"/>
    <n v="3.591674104"/>
    <n v="0.76819541099999999"/>
  </r>
  <r>
    <x v="5"/>
    <x v="13"/>
    <x v="173"/>
    <x v="173"/>
    <n v="40969123319"/>
    <n v="78858492215"/>
    <x v="173"/>
    <n v="2.8015422230000002"/>
    <n v="5.830801675"/>
    <n v="1.0812828109999999"/>
  </r>
  <r>
    <x v="5"/>
    <x v="14"/>
    <x v="174"/>
    <x v="174"/>
    <n v="40139408421"/>
    <n v="54633825763"/>
    <x v="174"/>
    <n v="2.39880688"/>
    <n v="9.0418258310000006"/>
    <n v="2.769301274"/>
  </r>
  <r>
    <x v="5"/>
    <x v="15"/>
    <x v="175"/>
    <x v="175"/>
    <n v="45625478678"/>
    <n v="94598230353"/>
    <x v="175"/>
    <n v="1.3013332209999999"/>
    <n v="2.5137207039999998"/>
    <n v="0.93165029799999999"/>
  </r>
  <r>
    <x v="5"/>
    <x v="16"/>
    <x v="176"/>
    <x v="176"/>
    <n v="22622163266"/>
    <n v="70081083207"/>
    <x v="176"/>
    <n v="1.187084544"/>
    <n v="1.7529301310000001"/>
    <n v="0.47666831199999998"/>
  </r>
  <r>
    <x v="5"/>
    <x v="17"/>
    <x v="177"/>
    <x v="177"/>
    <n v="36585800973"/>
    <n v="54397521144"/>
    <x v="177"/>
    <n v="0.69663383599999995"/>
    <n v="2.1275403750000002"/>
    <n v="2.054029629"/>
  </r>
  <r>
    <x v="5"/>
    <x v="18"/>
    <x v="178"/>
    <x v="178"/>
    <n v="34748500389"/>
    <n v="83063430789"/>
    <x v="178"/>
    <n v="1.7829228699999999"/>
    <n v="3.0652158489999999"/>
    <n v="0.71920832999999995"/>
  </r>
  <r>
    <x v="5"/>
    <x v="19"/>
    <x v="179"/>
    <x v="179"/>
    <n v="15557689149"/>
    <n v="64787149652"/>
    <x v="179"/>
    <n v="3.267252713"/>
    <n v="4.2997828599999997"/>
    <n v="0.31602396199999999"/>
  </r>
  <r>
    <x v="5"/>
    <x v="20"/>
    <x v="180"/>
    <x v="180"/>
    <n v="18792941935"/>
    <n v="60677034815"/>
    <x v="180"/>
    <n v="0.72622128200000002"/>
    <n v="1.0520689590000001"/>
    <n v="0.44868924300000002"/>
  </r>
  <r>
    <x v="5"/>
    <x v="21"/>
    <x v="181"/>
    <x v="181"/>
    <n v="47810647914"/>
    <n v="69756044623"/>
    <x v="181"/>
    <n v="1.7016547390000001"/>
    <n v="5.4089112860000004"/>
    <n v="2.1786185300000001"/>
  </r>
  <r>
    <x v="5"/>
    <x v="22"/>
    <x v="182"/>
    <x v="182"/>
    <n v="33957807568"/>
    <n v="82298368793"/>
    <x v="182"/>
    <n v="1.960655518"/>
    <n v="3.337957748"/>
    <n v="0.70247028"/>
  </r>
  <r>
    <x v="5"/>
    <x v="23"/>
    <x v="183"/>
    <x v="183"/>
    <n v="12931047199"/>
    <n v="34081834188"/>
    <x v="183"/>
    <n v="2.9060069629999998"/>
    <n v="4.682664881"/>
    <n v="0.61137428199999999"/>
  </r>
  <r>
    <x v="5"/>
    <x v="24"/>
    <x v="184"/>
    <x v="184"/>
    <n v="35021279445"/>
    <n v="51489159430"/>
    <x v="184"/>
    <n v="2.7961918300000002"/>
    <n v="8.742689833"/>
    <n v="2.1266416490000002"/>
  </r>
  <r>
    <x v="5"/>
    <x v="25"/>
    <x v="185"/>
    <x v="185"/>
    <n v="38426371195"/>
    <n v="68448568389"/>
    <x v="185"/>
    <n v="0.82066289299999995"/>
    <n v="1.871055599"/>
    <n v="1.27993201"/>
  </r>
  <r>
    <x v="5"/>
    <x v="26"/>
    <x v="186"/>
    <x v="186"/>
    <n v="17312068995"/>
    <n v="55772071679"/>
    <x v="186"/>
    <n v="1.3458586930000001"/>
    <n v="1.9516724459999999"/>
    <n v="0.45013176799999999"/>
  </r>
  <r>
    <x v="5"/>
    <x v="27"/>
    <x v="187"/>
    <x v="187"/>
    <n v="28470052842"/>
    <n v="53978751141"/>
    <x v="187"/>
    <n v="1.637991669"/>
    <n v="3.4661409860000001"/>
    <n v="1.116091951"/>
  </r>
  <r>
    <x v="5"/>
    <x v="28"/>
    <x v="188"/>
    <x v="188"/>
    <n v="43228375752"/>
    <n v="78855235024"/>
    <x v="188"/>
    <n v="1.277172567"/>
    <n v="2.8268487590000002"/>
    <n v="1.213364766"/>
  </r>
  <r>
    <x v="5"/>
    <x v="29"/>
    <x v="189"/>
    <x v="189"/>
    <n v="29108930053"/>
    <n v="40292182768"/>
    <x v="189"/>
    <n v="3.0749802449999999"/>
    <n v="11.078857749999999"/>
    <n v="2.6029037160000001"/>
  </r>
  <r>
    <x v="5"/>
    <x v="30"/>
    <x v="190"/>
    <x v="190"/>
    <n v="15526905086"/>
    <n v="49404344791"/>
    <x v="190"/>
    <n v="1.7665805210000001"/>
    <n v="2.576249974"/>
    <n v="0.45832581300000003"/>
  </r>
  <r>
    <x v="5"/>
    <x v="31"/>
    <x v="191"/>
    <x v="191"/>
    <n v="18313729720"/>
    <n v="41643539977"/>
    <x v="191"/>
    <n v="6.8054178409999997"/>
    <n v="12.147620870000001"/>
    <n v="0.78499265600000001"/>
  </r>
  <r>
    <x v="6"/>
    <x v="0"/>
    <x v="192"/>
    <x v="192"/>
    <n v="33400146455"/>
    <n v="69867319792"/>
    <x v="192"/>
    <n v="1.4039250830000001"/>
    <n v="2.689774769"/>
    <n v="0.91589622699999995"/>
  </r>
  <r>
    <x v="6"/>
    <x v="1"/>
    <x v="193"/>
    <x v="193"/>
    <n v="31728621908"/>
    <n v="65800353827"/>
    <x v="193"/>
    <n v="1.8201323629999999"/>
    <n v="3.5150943840000002"/>
    <n v="0.93123008799999996"/>
  </r>
  <r>
    <x v="6"/>
    <x v="2"/>
    <x v="194"/>
    <x v="194"/>
    <n v="27624534772"/>
    <n v="70422660411"/>
    <x v="194"/>
    <n v="1.1271626530000001"/>
    <n v="1.854702549"/>
    <n v="0.64546132199999995"/>
  </r>
  <r>
    <x v="6"/>
    <x v="3"/>
    <x v="195"/>
    <x v="195"/>
    <n v="19707492188"/>
    <n v="56381587968"/>
    <x v="195"/>
    <n v="3.0915851600000002"/>
    <n v="4.7529046590000004"/>
    <n v="0.53736818200000003"/>
  </r>
  <r>
    <x v="6"/>
    <x v="4"/>
    <x v="196"/>
    <x v="196"/>
    <n v="36665610699"/>
    <n v="59016046453"/>
    <x v="196"/>
    <n v="1.6658858670000001"/>
    <n v="4.3987508240000004"/>
    <n v="1.64048751"/>
  </r>
  <r>
    <x v="6"/>
    <x v="5"/>
    <x v="197"/>
    <x v="197"/>
    <n v="20217118393"/>
    <n v="63441922522"/>
    <x v="197"/>
    <n v="4.2736038470000004"/>
    <n v="6.2724551249999996"/>
    <n v="0.467720301"/>
  </r>
  <r>
    <x v="6"/>
    <x v="6"/>
    <x v="198"/>
    <x v="198"/>
    <n v="24935989828"/>
    <n v="36383148668"/>
    <x v="198"/>
    <n v="1.647943384"/>
    <n v="5.2377511290000003"/>
    <n v="2.1783562349999999"/>
  </r>
  <r>
    <x v="6"/>
    <x v="7"/>
    <x v="199"/>
    <x v="199"/>
    <n v="41539802392"/>
    <n v="60496305967"/>
    <x v="199"/>
    <n v="2.8537634729999999"/>
    <n v="9.1072780140000003"/>
    <n v="2.1913219509999999"/>
  </r>
  <r>
    <x v="6"/>
    <x v="8"/>
    <x v="200"/>
    <x v="200"/>
    <n v="21597719176"/>
    <n v="57241727973"/>
    <x v="200"/>
    <n v="1.9164657759999999"/>
    <n v="3.077706922"/>
    <n v="0.60592845500000003"/>
  </r>
  <r>
    <x v="6"/>
    <x v="9"/>
    <x v="201"/>
    <x v="201"/>
    <n v="41871491156"/>
    <n v="82039997300"/>
    <x v="201"/>
    <n v="0.77932031099999999"/>
    <n v="1.5916807049999999"/>
    <n v="1.042396026"/>
  </r>
  <r>
    <x v="6"/>
    <x v="10"/>
    <x v="202"/>
    <x v="202"/>
    <n v="34864875291"/>
    <n v="53486270610"/>
    <x v="202"/>
    <n v="2.3441466219999998"/>
    <n v="6.7330969789999999"/>
    <n v="1.8723019780000001"/>
  </r>
  <r>
    <x v="6"/>
    <x v="11"/>
    <x v="203"/>
    <x v="203"/>
    <n v="19578678306"/>
    <n v="31178454239"/>
    <x v="203"/>
    <n v="3.6751096470000002"/>
    <n v="9.8781423549999996"/>
    <n v="1.687849698"/>
  </r>
  <r>
    <x v="6"/>
    <x v="12"/>
    <x v="204"/>
    <x v="204"/>
    <n v="18447303156"/>
    <n v="42728183777"/>
    <x v="204"/>
    <n v="2.760721427"/>
    <n v="4.8581686279999996"/>
    <n v="0.75974605100000003"/>
  </r>
  <r>
    <x v="6"/>
    <x v="13"/>
    <x v="205"/>
    <x v="205"/>
    <n v="42169052107"/>
    <n v="79023797685"/>
    <x v="205"/>
    <n v="2.2605623619999999"/>
    <n v="4.8470887520000003"/>
    <n v="1.1441959900000001"/>
  </r>
  <r>
    <x v="6"/>
    <x v="14"/>
    <x v="206"/>
    <x v="206"/>
    <n v="34457237297"/>
    <n v="48064706274"/>
    <x v="206"/>
    <n v="2.862788745"/>
    <n v="10.112027469999999"/>
    <n v="2.5322297159999998"/>
  </r>
  <r>
    <x v="6"/>
    <x v="15"/>
    <x v="207"/>
    <x v="207"/>
    <n v="40109942612"/>
    <n v="86478204177"/>
    <x v="207"/>
    <n v="0.55749484999999999"/>
    <n v="1.0397446850000001"/>
    <n v="0.86503011500000004"/>
  </r>
  <r>
    <x v="6"/>
    <x v="16"/>
    <x v="208"/>
    <x v="208"/>
    <n v="42906482998"/>
    <n v="53748741344"/>
    <x v="208"/>
    <n v="2.901065359"/>
    <n v="14.381562089999999"/>
    <n v="3.957338188"/>
  </r>
  <r>
    <x v="6"/>
    <x v="17"/>
    <x v="209"/>
    <x v="209"/>
    <n v="40442076671"/>
    <n v="75441053988"/>
    <x v="209"/>
    <n v="1.4140044279999999"/>
    <n v="3.0479171840000001"/>
    <n v="1.1555216690000001"/>
  </r>
  <r>
    <x v="6"/>
    <x v="18"/>
    <x v="210"/>
    <x v="210"/>
    <n v="43221215972"/>
    <n v="62906987078"/>
    <x v="210"/>
    <n v="3.4498881539999999"/>
    <n v="11.02431133"/>
    <n v="2.195556158"/>
  </r>
  <r>
    <x v="6"/>
    <x v="19"/>
    <x v="211"/>
    <x v="211"/>
    <n v="39627936994"/>
    <n v="77954949919"/>
    <x v="211"/>
    <n v="3.086583128"/>
    <n v="6.2779333629999998"/>
    <n v="1.0339427459999999"/>
  </r>
  <r>
    <x v="6"/>
    <x v="20"/>
    <x v="212"/>
    <x v="212"/>
    <n v="43437924866"/>
    <n v="86840936189"/>
    <x v="212"/>
    <n v="1.1668130969999999"/>
    <n v="2.3345647839999999"/>
    <n v="1.0008044039999999"/>
  </r>
  <r>
    <x v="6"/>
    <x v="21"/>
    <x v="213"/>
    <x v="213"/>
    <n v="30509379123"/>
    <n v="76296463396"/>
    <x v="213"/>
    <n v="1.149653638"/>
    <n v="1.915704136"/>
    <n v="0.66633155600000005"/>
  </r>
  <r>
    <x v="6"/>
    <x v="22"/>
    <x v="214"/>
    <x v="214"/>
    <n v="44184049308"/>
    <n v="54843099546"/>
    <x v="214"/>
    <n v="2.331124677"/>
    <n v="11.99413642"/>
    <n v="4.1452144720000001"/>
  </r>
  <r>
    <x v="6"/>
    <x v="23"/>
    <x v="215"/>
    <x v="215"/>
    <n v="34778269496"/>
    <n v="54701473950"/>
    <x v="215"/>
    <n v="1.2885434490000001"/>
    <n v="3.5378458359999998"/>
    <n v="1.7456162529999999"/>
  </r>
  <r>
    <x v="6"/>
    <x v="24"/>
    <x v="216"/>
    <x v="216"/>
    <n v="43343894473"/>
    <n v="57721074868"/>
    <x v="216"/>
    <n v="1.197878979"/>
    <n v="4.8092087809999997"/>
    <n v="3.014770162"/>
  </r>
  <r>
    <x v="6"/>
    <x v="25"/>
    <x v="217"/>
    <x v="217"/>
    <n v="45505367856"/>
    <n v="68668748604"/>
    <x v="217"/>
    <n v="0.64216931799999999"/>
    <n v="1.9037360720000001"/>
    <n v="1.9645391299999999"/>
  </r>
  <r>
    <x v="6"/>
    <x v="26"/>
    <x v="218"/>
    <x v="218"/>
    <n v="29165603027"/>
    <n v="45413408789"/>
    <x v="218"/>
    <n v="4.087514659"/>
    <n v="11.424802639999999"/>
    <n v="1.7950487260000001"/>
  </r>
  <r>
    <x v="6"/>
    <x v="27"/>
    <x v="219"/>
    <x v="219"/>
    <n v="15838145692"/>
    <n v="51630867307"/>
    <x v="219"/>
    <n v="1.021432476"/>
    <n v="1.4734125330000001"/>
    <n v="0.442496267"/>
  </r>
  <r>
    <x v="6"/>
    <x v="28"/>
    <x v="220"/>
    <x v="220"/>
    <n v="24936555962"/>
    <n v="37936073156"/>
    <x v="220"/>
    <n v="4.267034357"/>
    <n v="12.4523492"/>
    <n v="1.9182678550000001"/>
  </r>
  <r>
    <x v="6"/>
    <x v="29"/>
    <x v="221"/>
    <x v="221"/>
    <n v="33856303197"/>
    <n v="55117754937"/>
    <x v="221"/>
    <n v="1.61195131"/>
    <n v="4.1787897809999999"/>
    <n v="1.5923796560000001"/>
  </r>
  <r>
    <x v="6"/>
    <x v="30"/>
    <x v="222"/>
    <x v="222"/>
    <n v="10787737144"/>
    <n v="51913035226"/>
    <x v="222"/>
    <n v="4.0489403470000003"/>
    <n v="5.1110336619999996"/>
    <n v="0.26231389599999999"/>
  </r>
  <r>
    <x v="6"/>
    <x v="31"/>
    <x v="223"/>
    <x v="223"/>
    <n v="48085311015"/>
    <n v="79618978403"/>
    <x v="223"/>
    <n v="1.874201507"/>
    <n v="4.7321488949999999"/>
    <n v="1.5248880010000001"/>
  </r>
  <r>
    <x v="7"/>
    <x v="0"/>
    <x v="224"/>
    <x v="224"/>
    <n v="18570025227"/>
    <n v="65782612977"/>
    <x v="224"/>
    <n v="1.093132271"/>
    <n v="1.523091628"/>
    <n v="0.39332784100000001"/>
  </r>
  <r>
    <x v="7"/>
    <x v="1"/>
    <x v="225"/>
    <x v="225"/>
    <n v="11294935497"/>
    <n v="23437806831"/>
    <x v="225"/>
    <n v="3.17808321"/>
    <n v="6.1342410970000003"/>
    <n v="0.93017007200000001"/>
  </r>
  <r>
    <x v="7"/>
    <x v="2"/>
    <x v="226"/>
    <x v="226"/>
    <n v="40486058249"/>
    <n v="55383211771"/>
    <x v="226"/>
    <n v="3.6069026549999998"/>
    <n v="13.40939753"/>
    <n v="2.7177043040000002"/>
  </r>
  <r>
    <x v="7"/>
    <x v="3"/>
    <x v="227"/>
    <x v="227"/>
    <n v="40828269592"/>
    <n v="73785136305"/>
    <x v="227"/>
    <n v="3.0851212449999998"/>
    <n v="6.9070914290000003"/>
    <n v="1.2388395400000001"/>
  </r>
  <r>
    <x v="7"/>
    <x v="4"/>
    <x v="228"/>
    <x v="228"/>
    <n v="42095348780"/>
    <n v="63447988091"/>
    <x v="228"/>
    <n v="2.24104912"/>
    <n v="6.6591326620000002"/>
    <n v="1.971435389"/>
  </r>
  <r>
    <x v="7"/>
    <x v="5"/>
    <x v="229"/>
    <x v="229"/>
    <n v="34968772981"/>
    <n v="55603015081"/>
    <x v="229"/>
    <n v="0.97452304499999998"/>
    <n v="2.6260436089999999"/>
    <n v="1.694696263"/>
  </r>
  <r>
    <x v="7"/>
    <x v="6"/>
    <x v="230"/>
    <x v="230"/>
    <n v="12010781130"/>
    <n v="31029999758"/>
    <x v="230"/>
    <n v="2.4189529780000001"/>
    <n v="3.94654017"/>
    <n v="0.63150760100000003"/>
  </r>
  <r>
    <x v="7"/>
    <x v="7"/>
    <x v="231"/>
    <x v="231"/>
    <n v="44932510908"/>
    <n v="90595603440"/>
    <x v="231"/>
    <n v="1.507795953"/>
    <n v="2.9914680900000001"/>
    <n v="0.98400061000000005"/>
  </r>
  <r>
    <x v="7"/>
    <x v="8"/>
    <x v="232"/>
    <x v="232"/>
    <n v="24181084351"/>
    <n v="42408075770"/>
    <x v="232"/>
    <n v="2.3343062450000001"/>
    <n v="5.4311451540000002"/>
    <n v="1.3266635069999999"/>
  </r>
  <r>
    <x v="7"/>
    <x v="9"/>
    <x v="233"/>
    <x v="233"/>
    <n v="29658734145"/>
    <n v="62964273740"/>
    <x v="233"/>
    <n v="1.480635642"/>
    <n v="2.7991483989999999"/>
    <n v="0.89050453799999996"/>
  </r>
  <r>
    <x v="7"/>
    <x v="10"/>
    <x v="234"/>
    <x v="234"/>
    <n v="48121419304"/>
    <n v="75654119930"/>
    <x v="234"/>
    <n v="1.4274185829999999"/>
    <n v="3.9222486060000001"/>
    <n v="1.7477914699999999"/>
  </r>
  <r>
    <x v="7"/>
    <x v="11"/>
    <x v="235"/>
    <x v="235"/>
    <n v="39424977655"/>
    <n v="89177961232"/>
    <x v="235"/>
    <n v="0.74252115799999996"/>
    <n v="1.330905572"/>
    <n v="0.79241433999999999"/>
  </r>
  <r>
    <x v="7"/>
    <x v="12"/>
    <x v="236"/>
    <x v="236"/>
    <n v="48081211472"/>
    <n v="96574017987"/>
    <x v="236"/>
    <n v="0.54878412300000001"/>
    <n v="1.0929103"/>
    <n v="0.99151224500000001"/>
  </r>
  <r>
    <x v="7"/>
    <x v="13"/>
    <x v="237"/>
    <x v="237"/>
    <n v="19793091472"/>
    <n v="35210598357"/>
    <x v="237"/>
    <n v="2.673046952"/>
    <n v="6.1047212960000001"/>
    <n v="1.2838062349999999"/>
  </r>
  <r>
    <x v="7"/>
    <x v="14"/>
    <x v="238"/>
    <x v="238"/>
    <n v="24329632573"/>
    <n v="49270478198"/>
    <x v="238"/>
    <n v="4.204149643"/>
    <n v="8.3052702549999999"/>
    <n v="0.97549349100000005"/>
  </r>
  <r>
    <x v="7"/>
    <x v="15"/>
    <x v="239"/>
    <x v="239"/>
    <n v="40817136100"/>
    <n v="65594337613"/>
    <x v="239"/>
    <n v="1.566693946"/>
    <n v="4.1476133429999997"/>
    <n v="1.6473666760000001"/>
  </r>
  <r>
    <x v="7"/>
    <x v="16"/>
    <x v="240"/>
    <x v="240"/>
    <n v="11461577968"/>
    <n v="53638409260"/>
    <x v="240"/>
    <n v="1.3632326320000001"/>
    <n v="1.733691877"/>
    <n v="0.271750571"/>
  </r>
  <r>
    <x v="7"/>
    <x v="17"/>
    <x v="241"/>
    <x v="241"/>
    <n v="45007114334"/>
    <n v="92397807990"/>
    <x v="241"/>
    <n v="0.77918500800000001"/>
    <n v="1.519179847"/>
    <n v="0.94970364100000004"/>
  </r>
  <r>
    <x v="7"/>
    <x v="18"/>
    <x v="242"/>
    <x v="242"/>
    <n v="20844606335"/>
    <n v="48683375624"/>
    <x v="242"/>
    <n v="2.2175917730000001"/>
    <n v="3.8780397280000001"/>
    <n v="0.74876177600000005"/>
  </r>
  <r>
    <x v="7"/>
    <x v="19"/>
    <x v="243"/>
    <x v="243"/>
    <n v="28257880783"/>
    <n v="51866957482"/>
    <x v="243"/>
    <n v="1.544303617"/>
    <n v="3.3926921860000001"/>
    <n v="1.196907492"/>
  </r>
  <r>
    <x v="7"/>
    <x v="20"/>
    <x v="244"/>
    <x v="244"/>
    <n v="30918779103"/>
    <n v="51643572423"/>
    <x v="244"/>
    <n v="2.8493639239999999"/>
    <n v="7.1002557120000001"/>
    <n v="1.491873942"/>
  </r>
  <r>
    <x v="7"/>
    <x v="21"/>
    <x v="245"/>
    <x v="245"/>
    <n v="35425741218"/>
    <n v="52933352519"/>
    <x v="245"/>
    <n v="3.3856605420000001"/>
    <n v="10.23636862"/>
    <n v="2.0234480079999999"/>
  </r>
  <r>
    <x v="7"/>
    <x v="22"/>
    <x v="246"/>
    <x v="246"/>
    <n v="36355439326"/>
    <n v="47077977464"/>
    <x v="246"/>
    <n v="3.613197338"/>
    <n v="15.86396995"/>
    <n v="3.3905628370000001"/>
  </r>
  <r>
    <x v="7"/>
    <x v="23"/>
    <x v="247"/>
    <x v="247"/>
    <n v="10102113588"/>
    <n v="37939001132"/>
    <x v="247"/>
    <n v="4.8444456090000001"/>
    <n v="6.6025135580000001"/>
    <n v="0.362903847"/>
  </r>
  <r>
    <x v="7"/>
    <x v="24"/>
    <x v="248"/>
    <x v="248"/>
    <n v="22921333603"/>
    <n v="46384701674"/>
    <x v="248"/>
    <n v="1.8606265340000001"/>
    <n v="3.6782701630000001"/>
    <n v="0.97689869299999998"/>
  </r>
  <r>
    <x v="7"/>
    <x v="25"/>
    <x v="249"/>
    <x v="249"/>
    <n v="46400326109"/>
    <n v="56419077430"/>
    <x v="249"/>
    <n v="1.2385679709999999"/>
    <n v="6.9748075399999996"/>
    <n v="4.6313482219999997"/>
  </r>
  <r>
    <x v="7"/>
    <x v="26"/>
    <x v="250"/>
    <x v="250"/>
    <n v="26063953489"/>
    <n v="52362126677"/>
    <x v="250"/>
    <n v="2.5560340529999999"/>
    <n v="5.0893032729999996"/>
    <n v="0.99109368900000006"/>
  </r>
  <r>
    <x v="7"/>
    <x v="27"/>
    <x v="251"/>
    <x v="251"/>
    <n v="35679098743"/>
    <n v="80239095201"/>
    <x v="251"/>
    <n v="1.332777331"/>
    <n v="2.3999294350000002"/>
    <n v="0.80069797099999995"/>
  </r>
  <r>
    <x v="7"/>
    <x v="28"/>
    <x v="252"/>
    <x v="252"/>
    <n v="45369290420"/>
    <n v="94052696634"/>
    <x v="252"/>
    <n v="0.80944677099999995"/>
    <n v="1.563790571"/>
    <n v="0.93192514599999998"/>
  </r>
  <r>
    <x v="7"/>
    <x v="29"/>
    <x v="253"/>
    <x v="253"/>
    <n v="31360696540"/>
    <n v="57876694077"/>
    <x v="253"/>
    <n v="0.91445680100000004"/>
    <n v="1.995992663"/>
    <n v="1.182708533"/>
  </r>
  <r>
    <x v="7"/>
    <x v="30"/>
    <x v="254"/>
    <x v="254"/>
    <n v="42369695133"/>
    <n v="72342104340"/>
    <x v="254"/>
    <n v="1.14771336"/>
    <n v="2.7701476729999999"/>
    <n v="1.4136232710000001"/>
  </r>
  <r>
    <x v="7"/>
    <x v="31"/>
    <x v="255"/>
    <x v="255"/>
    <n v="49206362475"/>
    <n v="96053458782"/>
    <x v="255"/>
    <n v="0.96093010999999995"/>
    <n v="1.970253612"/>
    <n v="1.0503609899999999"/>
  </r>
  <r>
    <x v="8"/>
    <x v="0"/>
    <x v="256"/>
    <x v="256"/>
    <n v="48157761467"/>
    <n v="85094142147"/>
    <x v="256"/>
    <n v="1.324818968"/>
    <n v="3.052121825"/>
    <n v="1.3038029330000001"/>
  </r>
  <r>
    <x v="8"/>
    <x v="1"/>
    <x v="257"/>
    <x v="257"/>
    <n v="26356391355"/>
    <n v="61242421820"/>
    <x v="257"/>
    <n v="1.3948405399999999"/>
    <n v="2.4486423820000001"/>
    <n v="0.75549986599999996"/>
  </r>
  <r>
    <x v="8"/>
    <x v="2"/>
    <x v="258"/>
    <x v="258"/>
    <n v="20339721000"/>
    <n v="55136777973"/>
    <x v="258"/>
    <n v="2.3267876570000001"/>
    <n v="3.6868512920000001"/>
    <n v="0.58452417400000001"/>
  </r>
  <r>
    <x v="8"/>
    <x v="3"/>
    <x v="259"/>
    <x v="259"/>
    <n v="16524775630"/>
    <n v="29169852309"/>
    <x v="259"/>
    <n v="9.1551220699999991"/>
    <n v="21.11917274"/>
    <n v="1.30681498"/>
  </r>
  <r>
    <x v="8"/>
    <x v="4"/>
    <x v="260"/>
    <x v="260"/>
    <n v="46074070728"/>
    <n v="59231903754"/>
    <x v="260"/>
    <n v="1.492457884"/>
    <n v="6.7185167630000002"/>
    <n v="3.5016457980000002"/>
  </r>
  <r>
    <x v="8"/>
    <x v="5"/>
    <x v="261"/>
    <x v="261"/>
    <n v="37340600075"/>
    <n v="64364816177"/>
    <x v="261"/>
    <n v="2.6170867150000001"/>
    <n v="6.2332355809999997"/>
    <n v="1.38174591"/>
  </r>
  <r>
    <x v="8"/>
    <x v="6"/>
    <x v="262"/>
    <x v="262"/>
    <n v="34919186753"/>
    <n v="46399878511"/>
    <x v="262"/>
    <n v="1.1305034970000001"/>
    <n v="4.5689951469999999"/>
    <n v="3.041557729"/>
  </r>
  <r>
    <x v="8"/>
    <x v="7"/>
    <x v="263"/>
    <x v="263"/>
    <n v="28896911499"/>
    <n v="58238408654"/>
    <x v="263"/>
    <n v="3.850451659"/>
    <n v="7.642560842"/>
    <n v="0.984847888"/>
  </r>
  <r>
    <x v="8"/>
    <x v="8"/>
    <x v="264"/>
    <x v="264"/>
    <n v="15068249757"/>
    <n v="54818573513"/>
    <x v="264"/>
    <n v="1.736107761"/>
    <n v="2.394218258"/>
    <n v="0.37907237799999999"/>
  </r>
  <r>
    <x v="8"/>
    <x v="9"/>
    <x v="265"/>
    <x v="265"/>
    <n v="30394456127"/>
    <n v="61175428677"/>
    <x v="265"/>
    <n v="2.3492775360000002"/>
    <n v="4.6690552140000001"/>
    <n v="0.98744300799999996"/>
  </r>
  <r>
    <x v="8"/>
    <x v="10"/>
    <x v="266"/>
    <x v="266"/>
    <n v="43202192055"/>
    <n v="87180029468"/>
    <x v="266"/>
    <n v="1.129265084"/>
    <n v="2.238613108"/>
    <n v="0.98236281299999995"/>
  </r>
  <r>
    <x v="8"/>
    <x v="11"/>
    <x v="267"/>
    <x v="267"/>
    <n v="31887265220"/>
    <n v="61548783018"/>
    <x v="267"/>
    <n v="2.2545324760000001"/>
    <n v="4.6782410499999996"/>
    <n v="1.0750382169999999"/>
  </r>
  <r>
    <x v="8"/>
    <x v="12"/>
    <x v="268"/>
    <x v="268"/>
    <n v="13615077246"/>
    <n v="27849556029"/>
    <x v="268"/>
    <n v="4.9106704969999999"/>
    <n v="9.6076572410000001"/>
    <n v="0.95648582900000001"/>
  </r>
  <r>
    <x v="8"/>
    <x v="13"/>
    <x v="269"/>
    <x v="269"/>
    <n v="14551986231"/>
    <n v="38961279021"/>
    <x v="269"/>
    <n v="2.4472980089999998"/>
    <n v="3.9062934509999998"/>
    <n v="0.59616582699999998"/>
  </r>
  <r>
    <x v="8"/>
    <x v="14"/>
    <x v="270"/>
    <x v="270"/>
    <n v="32630440063"/>
    <n v="51398528756"/>
    <x v="270"/>
    <n v="2.0004072380000002"/>
    <n v="5.4783409570000003"/>
    <n v="1.7386128439999999"/>
  </r>
  <r>
    <x v="8"/>
    <x v="15"/>
    <x v="271"/>
    <x v="271"/>
    <n v="49223539015"/>
    <n v="87910824435"/>
    <x v="271"/>
    <n v="1.235457365"/>
    <n v="2.807384243"/>
    <n v="1.2723440909999999"/>
  </r>
  <r>
    <x v="8"/>
    <x v="16"/>
    <x v="272"/>
    <x v="272"/>
    <n v="20090535950"/>
    <n v="39516175321"/>
    <x v="272"/>
    <n v="4.5885555030000003"/>
    <n v="9.3341670899999993"/>
    <n v="1.034227784"/>
  </r>
  <r>
    <x v="8"/>
    <x v="17"/>
    <x v="273"/>
    <x v="273"/>
    <n v="39707273398"/>
    <n v="77463236730"/>
    <x v="273"/>
    <n v="1.5381031730000001"/>
    <n v="3.1556988549999998"/>
    <n v="1.051682169"/>
  </r>
  <r>
    <x v="8"/>
    <x v="18"/>
    <x v="274"/>
    <x v="274"/>
    <n v="44559907041"/>
    <n v="88194004126"/>
    <x v="274"/>
    <n v="0.81821660600000001"/>
    <n v="1.6537937890000001"/>
    <n v="1.0212175800000001"/>
  </r>
  <r>
    <x v="8"/>
    <x v="19"/>
    <x v="275"/>
    <x v="275"/>
    <n v="31049801948"/>
    <n v="49482603845"/>
    <x v="275"/>
    <n v="2.9326823640000002"/>
    <n v="7.872745579"/>
    <n v="1.684486283"/>
  </r>
  <r>
    <x v="8"/>
    <x v="20"/>
    <x v="276"/>
    <x v="276"/>
    <n v="49055627276"/>
    <n v="76658563614"/>
    <x v="276"/>
    <n v="1.1794920339999999"/>
    <n v="3.2756719790000002"/>
    <n v="1.7771887260000001"/>
  </r>
  <r>
    <x v="8"/>
    <x v="21"/>
    <x v="277"/>
    <x v="277"/>
    <n v="42824962792"/>
    <n v="91140421051"/>
    <x v="277"/>
    <n v="0.88975295700000001"/>
    <n v="1.678395737"/>
    <n v="0.88636151500000004"/>
  </r>
  <r>
    <x v="8"/>
    <x v="22"/>
    <x v="278"/>
    <x v="278"/>
    <n v="44364932131"/>
    <n v="75643621464"/>
    <x v="278"/>
    <n v="1.5261665790000001"/>
    <n v="3.690844131"/>
    <n v="1.4183756759999999"/>
  </r>
  <r>
    <x v="8"/>
    <x v="23"/>
    <x v="279"/>
    <x v="279"/>
    <n v="10046371516"/>
    <n v="37513857859"/>
    <x v="279"/>
    <n v="4.8689859750000002"/>
    <n v="6.6498421260000002"/>
    <n v="0.36575503799999998"/>
  </r>
  <r>
    <x v="8"/>
    <x v="24"/>
    <x v="280"/>
    <x v="280"/>
    <n v="29454258021"/>
    <n v="71356904907"/>
    <x v="280"/>
    <n v="3.0858538260000001"/>
    <n v="5.2549658409999997"/>
    <n v="0.70292118100000001"/>
  </r>
  <r>
    <x v="8"/>
    <x v="25"/>
    <x v="281"/>
    <x v="281"/>
    <n v="42095419645"/>
    <n v="52756441711"/>
    <x v="281"/>
    <n v="2.5001902629999999"/>
    <n v="12.37227923"/>
    <n v="3.9485350829999999"/>
  </r>
  <r>
    <x v="8"/>
    <x v="26"/>
    <x v="282"/>
    <x v="282"/>
    <n v="40856047831"/>
    <n v="77252438398"/>
    <x v="282"/>
    <n v="1.464434247"/>
    <n v="3.1083059259999999"/>
    <n v="1.1225302070000001"/>
  </r>
  <r>
    <x v="8"/>
    <x v="27"/>
    <x v="283"/>
    <x v="283"/>
    <n v="42371799830"/>
    <n v="52389418748"/>
    <x v="283"/>
    <n v="1.7287554329999999"/>
    <n v="9.0409201059999997"/>
    <n v="4.22972766"/>
  </r>
  <r>
    <x v="8"/>
    <x v="28"/>
    <x v="284"/>
    <x v="284"/>
    <n v="26311852797"/>
    <n v="62689824382"/>
    <x v="284"/>
    <n v="2.4132529260000002"/>
    <n v="4.1587366059999997"/>
    <n v="0.72329081699999997"/>
  </r>
  <r>
    <x v="8"/>
    <x v="29"/>
    <x v="285"/>
    <x v="285"/>
    <n v="20591206981"/>
    <n v="42904241960"/>
    <x v="285"/>
    <n v="2.4802867850000001"/>
    <n v="4.7691774999999996"/>
    <n v="0.92283308799999997"/>
  </r>
  <r>
    <x v="8"/>
    <x v="30"/>
    <x v="286"/>
    <x v="286"/>
    <n v="23673143006"/>
    <n v="42677324477"/>
    <x v="286"/>
    <n v="1.7495650309999999"/>
    <n v="3.928964508"/>
    <n v="1.2456807489999999"/>
  </r>
  <r>
    <x v="8"/>
    <x v="31"/>
    <x v="287"/>
    <x v="287"/>
    <n v="34398569588"/>
    <n v="80121015584"/>
    <x v="287"/>
    <n v="0.75450338800000005"/>
    <n v="1.3221422519999999"/>
    <n v="0.75233441300000004"/>
  </r>
  <r>
    <x v="9"/>
    <x v="0"/>
    <x v="288"/>
    <x v="288"/>
    <n v="14840428879"/>
    <n v="46770654578"/>
    <x v="288"/>
    <n v="3.5938636320000001"/>
    <n v="5.2642081550000004"/>
    <n v="0.46477682399999998"/>
  </r>
  <r>
    <x v="9"/>
    <x v="1"/>
    <x v="289"/>
    <x v="289"/>
    <n v="13706520368"/>
    <n v="55551723268"/>
    <x v="289"/>
    <n v="4.9553686409999997"/>
    <n v="6.5785143430000002"/>
    <n v="0.32755296699999997"/>
  </r>
  <r>
    <x v="9"/>
    <x v="2"/>
    <x v="290"/>
    <x v="290"/>
    <n v="12720436994"/>
    <n v="42183197053"/>
    <x v="290"/>
    <n v="3.3890996659999999"/>
    <n v="4.8523308329999999"/>
    <n v="0.43174627799999998"/>
  </r>
  <r>
    <x v="9"/>
    <x v="3"/>
    <x v="291"/>
    <x v="291"/>
    <n v="11123712659"/>
    <n v="49692010679"/>
    <x v="291"/>
    <n v="1.9288982690000001"/>
    <n v="2.4852233130000001"/>
    <n v="0.288415959"/>
  </r>
  <r>
    <x v="9"/>
    <x v="4"/>
    <x v="292"/>
    <x v="292"/>
    <n v="46035800087"/>
    <n v="57764409125"/>
    <x v="292"/>
    <n v="3.2905500179999998"/>
    <n v="16.20624209"/>
    <n v="3.9250860809999999"/>
  </r>
  <r>
    <x v="9"/>
    <x v="5"/>
    <x v="293"/>
    <x v="293"/>
    <n v="30096796442"/>
    <n v="49497014532"/>
    <x v="293"/>
    <n v="1.3396361379999999"/>
    <n v="3.4178991750000001"/>
    <n v="1.5513638199999999"/>
  </r>
  <r>
    <x v="9"/>
    <x v="6"/>
    <x v="294"/>
    <x v="294"/>
    <n v="48317236409"/>
    <n v="88972406897"/>
    <x v="294"/>
    <n v="1.2164310949999999"/>
    <n v="2.6621165530000002"/>
    <n v="1.1884647349999999"/>
  </r>
  <r>
    <x v="9"/>
    <x v="7"/>
    <x v="295"/>
    <x v="295"/>
    <n v="36770248755"/>
    <n v="55390246152"/>
    <x v="295"/>
    <n v="2.3017431039999998"/>
    <n v="6.8471608440000002"/>
    <n v="1.97477196"/>
  </r>
  <r>
    <x v="9"/>
    <x v="8"/>
    <x v="296"/>
    <x v="296"/>
    <n v="10546244209"/>
    <n v="38688850201"/>
    <x v="296"/>
    <n v="4.0401283870000002"/>
    <n v="5.5541381640000003"/>
    <n v="0.374742986"/>
  </r>
  <r>
    <x v="9"/>
    <x v="9"/>
    <x v="297"/>
    <x v="297"/>
    <n v="38799826104"/>
    <n v="70810004871"/>
    <x v="297"/>
    <n v="1.0825027270000001"/>
    <n v="2.3946140370000002"/>
    <n v="1.21210901"/>
  </r>
  <r>
    <x v="9"/>
    <x v="10"/>
    <x v="298"/>
    <x v="298"/>
    <n v="12634199326"/>
    <n v="28137106192"/>
    <x v="298"/>
    <n v="1.3352330670000001"/>
    <n v="2.4233903300000001"/>
    <n v="0.81495679700000001"/>
  </r>
  <r>
    <x v="9"/>
    <x v="11"/>
    <x v="299"/>
    <x v="299"/>
    <n v="25131659304"/>
    <n v="46301105258"/>
    <x v="299"/>
    <n v="1.2450055980000001"/>
    <n v="2.723034669"/>
    <n v="1.1871666059999999"/>
  </r>
  <r>
    <x v="9"/>
    <x v="12"/>
    <x v="300"/>
    <x v="300"/>
    <n v="44322011186"/>
    <n v="92083567435"/>
    <x v="300"/>
    <n v="1.064560363"/>
    <n v="2.0524564870000002"/>
    <n v="0.92798507100000005"/>
  </r>
  <r>
    <x v="9"/>
    <x v="13"/>
    <x v="301"/>
    <x v="301"/>
    <n v="32589277601"/>
    <n v="54693171121"/>
    <x v="301"/>
    <n v="2.4250020970000001"/>
    <n v="6.0003480629999997"/>
    <n v="1.474368195"/>
  </r>
  <r>
    <x v="9"/>
    <x v="14"/>
    <x v="302"/>
    <x v="302"/>
    <n v="44147215219"/>
    <n v="66843792777"/>
    <x v="302"/>
    <n v="1.9590751390000001"/>
    <n v="5.7696810149999997"/>
    <n v="1.945104503"/>
  </r>
  <r>
    <x v="9"/>
    <x v="15"/>
    <x v="303"/>
    <x v="303"/>
    <n v="29090502114"/>
    <n v="64555499757"/>
    <x v="303"/>
    <n v="2.7286967080000002"/>
    <n v="4.9669361729999997"/>
    <n v="0.82025952499999999"/>
  </r>
  <r>
    <x v="9"/>
    <x v="16"/>
    <x v="304"/>
    <x v="304"/>
    <n v="14173153454"/>
    <n v="61397948008"/>
    <x v="304"/>
    <n v="1.674431233"/>
    <n v="2.1769632410000002"/>
    <n v="0.30012101899999999"/>
  </r>
  <r>
    <x v="9"/>
    <x v="17"/>
    <x v="305"/>
    <x v="305"/>
    <n v="44926554184"/>
    <n v="91889065168"/>
    <x v="305"/>
    <n v="0.50110206400000001"/>
    <n v="0.98047994500000002"/>
    <n v="0.95664718999999998"/>
  </r>
  <r>
    <x v="9"/>
    <x v="18"/>
    <x v="306"/>
    <x v="306"/>
    <n v="42843256371"/>
    <n v="86694386780"/>
    <x v="306"/>
    <n v="0.90298831300000004"/>
    <n v="1.7852223490000001"/>
    <n v="0.97701600799999999"/>
  </r>
  <r>
    <x v="9"/>
    <x v="19"/>
    <x v="307"/>
    <x v="307"/>
    <n v="33962234582"/>
    <n v="80244374780"/>
    <x v="307"/>
    <n v="1.396843544"/>
    <n v="2.4218594119999999"/>
    <n v="0.73380864499999998"/>
  </r>
  <r>
    <x v="9"/>
    <x v="20"/>
    <x v="308"/>
    <x v="308"/>
    <n v="38566723026"/>
    <n v="72355738353"/>
    <x v="308"/>
    <n v="1.7031493609999999"/>
    <n v="3.6471210639999998"/>
    <n v="1.1413982519999999"/>
  </r>
  <r>
    <x v="9"/>
    <x v="21"/>
    <x v="309"/>
    <x v="309"/>
    <n v="47047722396"/>
    <n v="76309903159"/>
    <x v="309"/>
    <n v="1.794798889"/>
    <n v="4.6804758160000004"/>
    <n v="1.607799596"/>
  </r>
  <r>
    <x v="9"/>
    <x v="22"/>
    <x v="310"/>
    <x v="310"/>
    <n v="47986876748"/>
    <n v="85149075647"/>
    <x v="310"/>
    <n v="1.2615622230000001"/>
    <n v="2.8905947520000002"/>
    <n v="1.2912819520000001"/>
  </r>
  <r>
    <x v="9"/>
    <x v="23"/>
    <x v="311"/>
    <x v="311"/>
    <n v="44858188981"/>
    <n v="86269206025"/>
    <x v="311"/>
    <n v="1.1006844099999999"/>
    <n v="2.2929929499999999"/>
    <n v="1.0832428709999999"/>
  </r>
  <r>
    <x v="9"/>
    <x v="24"/>
    <x v="312"/>
    <x v="312"/>
    <n v="23138553563"/>
    <n v="72645962598"/>
    <x v="312"/>
    <n v="1.2221104249999999"/>
    <n v="1.793294983"/>
    <n v="0.46737557099999999"/>
  </r>
  <r>
    <x v="9"/>
    <x v="25"/>
    <x v="313"/>
    <x v="313"/>
    <n v="37136074738"/>
    <n v="74971932150"/>
    <x v="313"/>
    <n v="1.07264457"/>
    <n v="2.1254503379999998"/>
    <n v="0.98150477599999997"/>
  </r>
  <r>
    <x v="9"/>
    <x v="26"/>
    <x v="314"/>
    <x v="314"/>
    <n v="20633879462"/>
    <n v="43019367872"/>
    <x v="314"/>
    <n v="3.3693481689999998"/>
    <n v="6.4750532009999997"/>
    <n v="0.92175247999999999"/>
  </r>
  <r>
    <x v="9"/>
    <x v="27"/>
    <x v="315"/>
    <x v="315"/>
    <n v="33786415736"/>
    <n v="79888234351"/>
    <x v="315"/>
    <n v="1.2105625630000001"/>
    <n v="2.097741665"/>
    <n v="0.73286514000000003"/>
  </r>
  <r>
    <x v="9"/>
    <x v="28"/>
    <x v="316"/>
    <x v="316"/>
    <n v="28301209342"/>
    <n v="55585382174"/>
    <x v="316"/>
    <n v="4.1971751529999999"/>
    <n v="8.5508029269999994"/>
    <n v="1.0372756949999999"/>
  </r>
  <r>
    <x v="9"/>
    <x v="29"/>
    <x v="317"/>
    <x v="317"/>
    <n v="23854663266"/>
    <n v="48476616703"/>
    <x v="317"/>
    <n v="1.505566862"/>
    <n v="2.964215974"/>
    <n v="0.96883715299999995"/>
  </r>
  <r>
    <x v="9"/>
    <x v="30"/>
    <x v="318"/>
    <x v="318"/>
    <n v="49199711543"/>
    <n v="64461554635"/>
    <x v="318"/>
    <n v="3.6037327729999999"/>
    <n v="15.221111609999999"/>
    <n v="3.223707074"/>
  </r>
  <r>
    <x v="9"/>
    <x v="31"/>
    <x v="319"/>
    <x v="319"/>
    <n v="36451064643"/>
    <n v="76222443508"/>
    <x v="319"/>
    <n v="2.9174523419999998"/>
    <n v="5.5913411259999997"/>
    <n v="0.91651498300000001"/>
  </r>
  <r>
    <x v="10"/>
    <x v="0"/>
    <x v="320"/>
    <x v="320"/>
    <n v="47041623953"/>
    <n v="76926443805"/>
    <x v="320"/>
    <n v="0.57221472600000001"/>
    <n v="1.4729365670000001"/>
    <n v="1.5740976250000001"/>
  </r>
  <r>
    <x v="10"/>
    <x v="1"/>
    <x v="321"/>
    <x v="321"/>
    <n v="31531931981"/>
    <n v="51328720570"/>
    <x v="321"/>
    <n v="2.0839638960000002"/>
    <n v="5.403260231"/>
    <n v="1.5927801539999999"/>
  </r>
  <r>
    <x v="10"/>
    <x v="2"/>
    <x v="322"/>
    <x v="322"/>
    <n v="22993549681"/>
    <n v="72046513305"/>
    <x v="322"/>
    <n v="1.544864164"/>
    <n v="2.2690183899999998"/>
    <n v="0.46874944899999998"/>
  </r>
  <r>
    <x v="10"/>
    <x v="3"/>
    <x v="323"/>
    <x v="323"/>
    <n v="28361763209"/>
    <n v="73909302825"/>
    <x v="323"/>
    <n v="1.2097138599999999"/>
    <n v="1.9629843629999999"/>
    <n v="0.62268485699999998"/>
  </r>
  <r>
    <x v="10"/>
    <x v="4"/>
    <x v="324"/>
    <x v="324"/>
    <n v="46994742351"/>
    <n v="88007178782"/>
    <x v="324"/>
    <n v="1.517262431"/>
    <n v="3.255841341"/>
    <n v="1.1458656549999999"/>
  </r>
  <r>
    <x v="10"/>
    <x v="5"/>
    <x v="325"/>
    <x v="325"/>
    <n v="40862854527"/>
    <n v="89907869527"/>
    <x v="325"/>
    <n v="1.5373187690000001"/>
    <n v="2.8181672560000002"/>
    <n v="0.83317039500000001"/>
  </r>
  <r>
    <x v="10"/>
    <x v="6"/>
    <x v="326"/>
    <x v="326"/>
    <n v="49106113898"/>
    <n v="95043652065"/>
    <x v="326"/>
    <n v="2.2512839150000001"/>
    <n v="4.657851806"/>
    <n v="1.068975741"/>
  </r>
  <r>
    <x v="10"/>
    <x v="7"/>
    <x v="327"/>
    <x v="327"/>
    <n v="35954156213"/>
    <n v="65117507958"/>
    <x v="327"/>
    <n v="1.443101543"/>
    <n v="3.2222351210000002"/>
    <n v="1.232854047"/>
  </r>
  <r>
    <x v="10"/>
    <x v="8"/>
    <x v="328"/>
    <x v="328"/>
    <n v="26939537534"/>
    <n v="57056948432"/>
    <x v="328"/>
    <n v="2.9374637140000002"/>
    <n v="5.5649775540000004"/>
    <n v="0.89448384599999997"/>
  </r>
  <r>
    <x v="10"/>
    <x v="9"/>
    <x v="329"/>
    <x v="329"/>
    <n v="11368621660"/>
    <n v="21773242219"/>
    <x v="329"/>
    <n v="8.5320521490000001"/>
    <n v="17.854609589999999"/>
    <n v="1.0926512500000001"/>
  </r>
  <r>
    <x v="10"/>
    <x v="10"/>
    <x v="330"/>
    <x v="330"/>
    <n v="30918840712"/>
    <n v="77968242093"/>
    <x v="330"/>
    <n v="0.94768904799999998"/>
    <n v="1.570469484"/>
    <n v="0.65715694199999997"/>
  </r>
  <r>
    <x v="10"/>
    <x v="11"/>
    <x v="331"/>
    <x v="331"/>
    <n v="34376508276"/>
    <n v="55201546863"/>
    <x v="331"/>
    <n v="1.5308932159999999"/>
    <n v="4.0579840100000002"/>
    <n v="1.650729632"/>
  </r>
  <r>
    <x v="10"/>
    <x v="12"/>
    <x v="332"/>
    <x v="332"/>
    <n v="33525281805"/>
    <n v="71745524050"/>
    <x v="332"/>
    <n v="1.8941156299999999"/>
    <n v="3.5555587960000001"/>
    <n v="0.87716036900000005"/>
  </r>
  <r>
    <x v="10"/>
    <x v="13"/>
    <x v="333"/>
    <x v="333"/>
    <n v="34970670581"/>
    <n v="72558969348"/>
    <x v="333"/>
    <n v="1.268225519"/>
    <n v="2.4481325200000001"/>
    <n v="0.93036055699999998"/>
  </r>
  <r>
    <x v="10"/>
    <x v="14"/>
    <x v="334"/>
    <x v="334"/>
    <n v="38735572223"/>
    <n v="68605740345"/>
    <x v="334"/>
    <n v="1.378033257"/>
    <n v="3.1650639350000001"/>
    <n v="1.296797931"/>
  </r>
  <r>
    <x v="10"/>
    <x v="15"/>
    <x v="335"/>
    <x v="335"/>
    <n v="13089516203"/>
    <n v="26894911034"/>
    <x v="335"/>
    <n v="4.158605723"/>
    <n v="8.1015669829999997"/>
    <n v="0.94814500899999998"/>
  </r>
  <r>
    <x v="10"/>
    <x v="16"/>
    <x v="336"/>
    <x v="336"/>
    <n v="19342832660"/>
    <n v="61176556532"/>
    <x v="336"/>
    <n v="1.883423791"/>
    <n v="2.7542702719999999"/>
    <n v="0.46237415300000001"/>
  </r>
  <r>
    <x v="10"/>
    <x v="17"/>
    <x v="337"/>
    <x v="337"/>
    <n v="42131566815"/>
    <n v="76799130880"/>
    <x v="337"/>
    <n v="1.1827711110000001"/>
    <n v="2.620195442"/>
    <n v="1.2153021980000001"/>
  </r>
  <r>
    <x v="10"/>
    <x v="18"/>
    <x v="338"/>
    <x v="338"/>
    <n v="43655777728"/>
    <n v="59462856760"/>
    <x v="338"/>
    <n v="1.7386781"/>
    <n v="6.5405358309999997"/>
    <n v="2.7617865159999999"/>
  </r>
  <r>
    <x v="10"/>
    <x v="19"/>
    <x v="339"/>
    <x v="339"/>
    <n v="14851641486"/>
    <n v="42561319258"/>
    <x v="339"/>
    <n v="3.500594092"/>
    <n v="5.3768183069999997"/>
    <n v="0.53597308499999996"/>
  </r>
  <r>
    <x v="10"/>
    <x v="20"/>
    <x v="340"/>
    <x v="340"/>
    <n v="15417730087"/>
    <n v="40879706571"/>
    <x v="340"/>
    <n v="2.3864087120000002"/>
    <n v="3.8314263620000002"/>
    <n v="0.60551976799999996"/>
  </r>
  <r>
    <x v="10"/>
    <x v="21"/>
    <x v="341"/>
    <x v="341"/>
    <n v="42066934650"/>
    <n v="86789124292"/>
    <x v="341"/>
    <n v="1.410361172"/>
    <n v="2.736986092"/>
    <n v="0.94062779500000004"/>
  </r>
  <r>
    <x v="10"/>
    <x v="22"/>
    <x v="342"/>
    <x v="342"/>
    <n v="32376788972"/>
    <n v="47679877246"/>
    <x v="342"/>
    <n v="2.5790116470000002"/>
    <n v="8.0354341900000001"/>
    <n v="2.115702948"/>
  </r>
  <r>
    <x v="10"/>
    <x v="23"/>
    <x v="343"/>
    <x v="343"/>
    <n v="19445445005"/>
    <n v="30265348449"/>
    <x v="343"/>
    <n v="0.98472655799999997"/>
    <n v="2.7544693499999999"/>
    <n v="1.797192101"/>
  </r>
  <r>
    <x v="10"/>
    <x v="24"/>
    <x v="344"/>
    <x v="344"/>
    <n v="40027402595"/>
    <n v="66992846031"/>
    <x v="344"/>
    <n v="0.99793576399999995"/>
    <n v="2.4792678499999998"/>
    <n v="1.4843962310000001"/>
  </r>
  <r>
    <x v="10"/>
    <x v="25"/>
    <x v="345"/>
    <x v="345"/>
    <n v="42857529033"/>
    <n v="61495517042"/>
    <x v="345"/>
    <n v="1.9942796979999999"/>
    <n v="6.5800697530000001"/>
    <n v="2.299471864"/>
  </r>
  <r>
    <x v="10"/>
    <x v="26"/>
    <x v="346"/>
    <x v="346"/>
    <n v="35348848744"/>
    <n v="85266963912"/>
    <x v="346"/>
    <n v="1.345309318"/>
    <n v="2.297972203"/>
    <n v="0.70813668799999996"/>
  </r>
  <r>
    <x v="10"/>
    <x v="27"/>
    <x v="347"/>
    <x v="347"/>
    <n v="19415830018"/>
    <n v="36726316966"/>
    <x v="347"/>
    <n v="3.8663334499999999"/>
    <n v="8.2028996759999995"/>
    <n v="1.121622406"/>
  </r>
  <r>
    <x v="10"/>
    <x v="28"/>
    <x v="348"/>
    <x v="348"/>
    <n v="33183980227"/>
    <n v="53340703796"/>
    <x v="348"/>
    <n v="1.395893708"/>
    <n v="3.6939511810000001"/>
    <n v="1.646298324"/>
  </r>
  <r>
    <x v="10"/>
    <x v="29"/>
    <x v="349"/>
    <x v="349"/>
    <n v="25161220888"/>
    <n v="52217608876"/>
    <x v="349"/>
    <n v="2.057056282"/>
    <n v="3.970025873"/>
    <n v="0.92995491100000005"/>
  </r>
  <r>
    <x v="10"/>
    <x v="30"/>
    <x v="350"/>
    <x v="350"/>
    <n v="36125130235"/>
    <n v="84583217359"/>
    <x v="350"/>
    <n v="1.4680144589999999"/>
    <n v="2.5624079169999998"/>
    <n v="0.745492288"/>
  </r>
  <r>
    <x v="10"/>
    <x v="31"/>
    <x v="351"/>
    <x v="351"/>
    <n v="33698449632"/>
    <n v="62560115073"/>
    <x v="351"/>
    <n v="2.3982276150000001"/>
    <n v="5.1983623699999999"/>
    <n v="1.167585069"/>
  </r>
  <r>
    <x v="11"/>
    <x v="0"/>
    <x v="352"/>
    <x v="352"/>
    <n v="31405828053"/>
    <n v="49969368014"/>
    <x v="352"/>
    <n v="0.77985399700000002"/>
    <n v="2.0992122989999999"/>
    <n v="1.691801678"/>
  </r>
  <r>
    <x v="11"/>
    <x v="1"/>
    <x v="353"/>
    <x v="353"/>
    <n v="30579291828"/>
    <n v="50859030282"/>
    <x v="353"/>
    <n v="2.0663901619999998"/>
    <n v="5.1822463120000002"/>
    <n v="1.507874073"/>
  </r>
  <r>
    <x v="11"/>
    <x v="2"/>
    <x v="354"/>
    <x v="354"/>
    <n v="28846310799"/>
    <n v="40791728305"/>
    <x v="354"/>
    <n v="3.2261566340000001"/>
    <n v="11.0168192"/>
    <n v="2.4148432469999999"/>
  </r>
  <r>
    <x v="11"/>
    <x v="3"/>
    <x v="355"/>
    <x v="355"/>
    <n v="29296072481"/>
    <n v="51828662312"/>
    <x v="355"/>
    <n v="1.5673595259999999"/>
    <n v="3.605184677"/>
    <n v="1.30016446"/>
  </r>
  <r>
    <x v="11"/>
    <x v="4"/>
    <x v="356"/>
    <x v="356"/>
    <n v="48172882387"/>
    <n v="65628926423"/>
    <x v="356"/>
    <n v="0.97794899999999996"/>
    <n v="3.676763352"/>
    <n v="2.759667785"/>
  </r>
  <r>
    <x v="11"/>
    <x v="5"/>
    <x v="357"/>
    <x v="357"/>
    <n v="36789908510"/>
    <n v="81877040048"/>
    <x v="357"/>
    <n v="0.58343265499999997"/>
    <n v="1.0594982909999999"/>
    <n v="0.81597358799999997"/>
  </r>
  <r>
    <x v="11"/>
    <x v="6"/>
    <x v="358"/>
    <x v="358"/>
    <n v="46995232198"/>
    <n v="95054854077"/>
    <x v="358"/>
    <n v="1.7019213019999999"/>
    <n v="3.3661496849999999"/>
    <n v="0.97785272499999998"/>
  </r>
  <r>
    <x v="11"/>
    <x v="7"/>
    <x v="359"/>
    <x v="359"/>
    <n v="37401670447"/>
    <n v="71252783664"/>
    <x v="359"/>
    <n v="1.635037283"/>
    <n v="3.4415694719999999"/>
    <n v="1.1048874580000001"/>
  </r>
  <r>
    <x v="11"/>
    <x v="8"/>
    <x v="360"/>
    <x v="360"/>
    <n v="12733925598"/>
    <n v="36970270841"/>
    <x v="360"/>
    <n v="6.0559037069999997"/>
    <n v="9.2377129470000003"/>
    <n v="0.52540618100000003"/>
  </r>
  <r>
    <x v="11"/>
    <x v="9"/>
    <x v="361"/>
    <x v="361"/>
    <n v="17305347324"/>
    <n v="45432894647"/>
    <x v="361"/>
    <n v="4.1703821239999996"/>
    <n v="6.7361910199999997"/>
    <n v="0.61524551400000005"/>
  </r>
  <r>
    <x v="11"/>
    <x v="10"/>
    <x v="362"/>
    <x v="362"/>
    <n v="27900854055"/>
    <n v="42173393478"/>
    <x v="362"/>
    <n v="2.9311472049999998"/>
    <n v="8.6611373589999996"/>
    <n v="1.954862637"/>
  </r>
  <r>
    <x v="11"/>
    <x v="11"/>
    <x v="363"/>
    <x v="363"/>
    <n v="47717175754"/>
    <n v="76466035769"/>
    <x v="363"/>
    <n v="2.0236197929999999"/>
    <n v="5.3824111090000004"/>
    <n v="1.6597936659999999"/>
  </r>
  <r>
    <x v="11"/>
    <x v="12"/>
    <x v="364"/>
    <x v="364"/>
    <n v="36909348765"/>
    <n v="72030787429"/>
    <x v="364"/>
    <n v="1.241932926"/>
    <n v="2.5470883309999999"/>
    <n v="1.050906517"/>
  </r>
  <r>
    <x v="11"/>
    <x v="13"/>
    <x v="365"/>
    <x v="365"/>
    <n v="31894204894"/>
    <n v="69469086501"/>
    <x v="365"/>
    <n v="2.562288251"/>
    <n v="4.7372025280000001"/>
    <n v="0.84881717599999995"/>
  </r>
  <r>
    <x v="11"/>
    <x v="14"/>
    <x v="366"/>
    <x v="366"/>
    <n v="46360819152"/>
    <n v="75700966235"/>
    <x v="366"/>
    <n v="0.89621569700000003"/>
    <n v="2.3123399500000001"/>
    <n v="1.5801154310000001"/>
  </r>
  <r>
    <x v="11"/>
    <x v="15"/>
    <x v="367"/>
    <x v="367"/>
    <n v="38506883950"/>
    <n v="51548729961"/>
    <x v="367"/>
    <n v="1.214285573"/>
    <n v="4.7995413429999996"/>
    <n v="2.9525639180000001"/>
  </r>
  <r>
    <x v="11"/>
    <x v="16"/>
    <x v="368"/>
    <x v="368"/>
    <n v="26820455279"/>
    <n v="61714717112"/>
    <x v="368"/>
    <n v="2.7223235180000001"/>
    <n v="4.814757986"/>
    <n v="0.76862079500000002"/>
  </r>
  <r>
    <x v="11"/>
    <x v="17"/>
    <x v="369"/>
    <x v="369"/>
    <n v="16839994355"/>
    <n v="60072011589"/>
    <x v="369"/>
    <n v="2.723952986"/>
    <n v="3.7850034730000002"/>
    <n v="0.38952599100000002"/>
  </r>
  <r>
    <x v="11"/>
    <x v="18"/>
    <x v="370"/>
    <x v="370"/>
    <n v="36499903384"/>
    <n v="85610397087"/>
    <x v="370"/>
    <n v="2.5416193919999999"/>
    <n v="4.4306018729999996"/>
    <n v="0.74322004600000002"/>
  </r>
  <r>
    <x v="11"/>
    <x v="19"/>
    <x v="371"/>
    <x v="371"/>
    <n v="17319486583"/>
    <n v="43037893850"/>
    <x v="371"/>
    <n v="3.9702956129999998"/>
    <n v="6.6440024600000003"/>
    <n v="0.67342765100000002"/>
  </r>
  <r>
    <x v="11"/>
    <x v="20"/>
    <x v="372"/>
    <x v="372"/>
    <n v="36325434183"/>
    <n v="64924945929"/>
    <x v="372"/>
    <n v="0.64658501700000004"/>
    <n v="1.467839648"/>
    <n v="1.27014176"/>
  </r>
  <r>
    <x v="11"/>
    <x v="21"/>
    <x v="373"/>
    <x v="373"/>
    <n v="39424400695"/>
    <n v="70149764250"/>
    <x v="373"/>
    <n v="2.7386036109999998"/>
    <n v="6.2525671129999996"/>
    <n v="1.28312235"/>
  </r>
  <r>
    <x v="11"/>
    <x v="22"/>
    <x v="374"/>
    <x v="374"/>
    <n v="33355799273"/>
    <n v="53175544683"/>
    <x v="374"/>
    <n v="1.31329769"/>
    <n v="3.5235225560000001"/>
    <n v="1.682958009"/>
  </r>
  <r>
    <x v="11"/>
    <x v="23"/>
    <x v="375"/>
    <x v="375"/>
    <n v="48688712492"/>
    <n v="88688270941"/>
    <x v="375"/>
    <n v="0.60471440499999995"/>
    <n v="1.340791676"/>
    <n v="1.2172312489999999"/>
  </r>
  <r>
    <x v="11"/>
    <x v="24"/>
    <x v="376"/>
    <x v="376"/>
    <n v="44629946816"/>
    <n v="61554558843"/>
    <x v="376"/>
    <n v="3.4550897040000002"/>
    <n v="12.56610918"/>
    <n v="2.6369849269999999"/>
  </r>
  <r>
    <x v="11"/>
    <x v="25"/>
    <x v="377"/>
    <x v="377"/>
    <n v="43413456694"/>
    <n v="56455610934"/>
    <x v="377"/>
    <n v="1.5381317969999999"/>
    <n v="6.6581155760000001"/>
    <n v="3.328702904"/>
  </r>
  <r>
    <x v="11"/>
    <x v="26"/>
    <x v="378"/>
    <x v="378"/>
    <n v="49354599469"/>
    <n v="67631473649"/>
    <x v="378"/>
    <n v="1.6931602830000001"/>
    <n v="6.2653451520000001"/>
    <n v="2.7003851409999999"/>
  </r>
  <r>
    <x v="11"/>
    <x v="27"/>
    <x v="379"/>
    <x v="379"/>
    <n v="44486109206"/>
    <n v="61628452463"/>
    <x v="379"/>
    <n v="3.413829051"/>
    <n v="12.27305965"/>
    <n v="2.5951008299999998"/>
  </r>
  <r>
    <x v="11"/>
    <x v="28"/>
    <x v="380"/>
    <x v="380"/>
    <n v="27944602045"/>
    <n v="74405164472"/>
    <x v="380"/>
    <n v="3.617415823"/>
    <n v="5.793180392"/>
    <n v="0.60146930200000004"/>
  </r>
  <r>
    <x v="11"/>
    <x v="29"/>
    <x v="381"/>
    <x v="381"/>
    <n v="19456844175"/>
    <n v="52664090849"/>
    <x v="381"/>
    <n v="4.6254172379999998"/>
    <n v="7.3355492570000003"/>
    <n v="0.58592163200000003"/>
  </r>
  <r>
    <x v="11"/>
    <x v="30"/>
    <x v="382"/>
    <x v="382"/>
    <n v="30603212259"/>
    <n v="59444780752"/>
    <x v="382"/>
    <n v="2.8666900360000001"/>
    <n v="5.908477575"/>
    <n v="1.061080026"/>
  </r>
  <r>
    <x v="11"/>
    <x v="31"/>
    <x v="383"/>
    <x v="383"/>
    <n v="30820597362"/>
    <n v="65357495789"/>
    <x v="383"/>
    <n v="3.6934018549999998"/>
    <n v="6.9893796840000002"/>
    <n v="0.892396213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43">
  <location ref="A3:B35" firstHeaderRow="1" firstDataRow="1" firstDataCol="1" rowPageCount="1" colPageCount="1"/>
  <pivotFields count="10">
    <pivotField axis="axisPage" showAll="0">
      <items count="13">
        <item x="2"/>
        <item x="4"/>
        <item x="8"/>
        <item x="3"/>
        <item x="6"/>
        <item x="9"/>
        <item x="5"/>
        <item x="11"/>
        <item x="10"/>
        <item x="7"/>
        <item x="1"/>
        <item x="0"/>
        <item t="default"/>
      </items>
    </pivotField>
    <pivotField axis="axisRow" numFmtId="14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pageFields count="1">
    <pageField fld="0" item="7" hier="-1"/>
  </pageFields>
  <dataFields count="1">
    <dataField name="Sum of ROA (%)" fld="7" baseField="0" baseItem="0"/>
  </dataFields>
  <chartFormats count="1">
    <chartFormat chart="3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B16" firstHeaderRow="1" firstDataRow="1" firstDataCol="1"/>
  <pivotFields count="10">
    <pivotField axis="axisRow" showAll="0" sortType="descending">
      <items count="13">
        <item x="2"/>
        <item x="4"/>
        <item x="8"/>
        <item x="3"/>
        <item x="6"/>
        <item x="9"/>
        <item x="5"/>
        <item x="11"/>
        <item x="10"/>
        <item x="7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numFmtId="14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2">
    <field x="1"/>
    <field x="0"/>
  </rowFields>
  <rowItems count="13">
    <i>
      <x v="31"/>
    </i>
    <i r="1">
      <x v="9"/>
    </i>
    <i r="1">
      <x v="1"/>
    </i>
    <i r="1">
      <x v="10"/>
    </i>
    <i r="1">
      <x v="2"/>
    </i>
    <i r="1">
      <x v="4"/>
    </i>
    <i r="1">
      <x v="5"/>
    </i>
    <i r="1">
      <x v="7"/>
    </i>
    <i r="1">
      <x v="8"/>
    </i>
    <i r="1">
      <x v="3"/>
    </i>
    <i r="1">
      <x/>
    </i>
    <i r="1">
      <x v="6"/>
    </i>
    <i r="1">
      <x v="11"/>
    </i>
  </rowItems>
  <colItems count="1">
    <i/>
  </colItems>
  <dataFields count="1">
    <dataField name="Sum of Assets" fld="5" baseField="0" baseItem="1" numFmtId="1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10">
  <location ref="A3:B111" firstHeaderRow="1" firstDataRow="1" firstDataCol="1"/>
  <pivotFields count="10">
    <pivotField axis="axisRow" showAll="0">
      <items count="13">
        <item x="2"/>
        <item x="4"/>
        <item x="8"/>
        <item x="3"/>
        <item x="6"/>
        <item x="9"/>
        <item x="5"/>
        <item x="11"/>
        <item x="10"/>
        <item x="7"/>
        <item x="1"/>
        <item x="0"/>
        <item t="default"/>
      </items>
    </pivotField>
    <pivotField axis="axisRow" numFmtId="14" multipleItemSelectionAllowed="1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x="24"/>
        <item x="25"/>
        <item x="26"/>
        <item x="27"/>
        <item x="28"/>
        <item x="29"/>
        <item x="30"/>
        <item x="31"/>
        <item t="default"/>
      </items>
    </pivotField>
    <pivotField dataField="1" showAll="0">
      <items count="385">
        <item x="186"/>
        <item x="198"/>
        <item x="219"/>
        <item x="305"/>
        <item x="229"/>
        <item x="89"/>
        <item x="177"/>
        <item x="343"/>
        <item x="102"/>
        <item x="34"/>
        <item x="287"/>
        <item x="320"/>
        <item x="367"/>
        <item x="15"/>
        <item x="127"/>
        <item x="176"/>
        <item x="49"/>
        <item x="237"/>
        <item x="180"/>
        <item x="190"/>
        <item x="41"/>
        <item x="103"/>
        <item x="260"/>
        <item x="224"/>
        <item x="240"/>
        <item x="5"/>
        <item x="225"/>
        <item x="144"/>
        <item x="217"/>
        <item x="298"/>
        <item x="334"/>
        <item x="111"/>
        <item x="352"/>
        <item x="148"/>
        <item x="313"/>
        <item x="192"/>
        <item x="66"/>
        <item x="1"/>
        <item x="95"/>
        <item x="338"/>
        <item x="311"/>
        <item x="28"/>
        <item x="312"/>
        <item x="194"/>
        <item x="100"/>
        <item x="285"/>
        <item x="119"/>
        <item x="138"/>
        <item x="372"/>
        <item x="45"/>
        <item x="375"/>
        <item x="333"/>
        <item x="270"/>
        <item x="52"/>
        <item x="293"/>
        <item x="357"/>
        <item x="336"/>
        <item x="374"/>
        <item x="13"/>
        <item x="277"/>
        <item x="327"/>
        <item x="235"/>
        <item x="366"/>
        <item x="85"/>
        <item x="106"/>
        <item x="230"/>
        <item x="253"/>
        <item x="80"/>
        <item x="59"/>
        <item x="154"/>
        <item x="112"/>
        <item x="257"/>
        <item x="181"/>
        <item x="63"/>
        <item x="123"/>
        <item x="207"/>
        <item x="262"/>
        <item x="342"/>
        <item x="196"/>
        <item x="304"/>
        <item x="9"/>
        <item x="295"/>
        <item x="107"/>
        <item x="150"/>
        <item x="344"/>
        <item x="242"/>
        <item x="61"/>
        <item x="33"/>
        <item x="276"/>
        <item x="377"/>
        <item x="64"/>
        <item x="236"/>
        <item x="169"/>
        <item x="76"/>
        <item x="378"/>
        <item x="317"/>
        <item x="356"/>
        <item x="291"/>
        <item x="286"/>
        <item x="215"/>
        <item x="83"/>
        <item x="183"/>
        <item x="282"/>
        <item x="110"/>
        <item x="152"/>
        <item x="297"/>
        <item x="202"/>
        <item x="130"/>
        <item x="325"/>
        <item x="341"/>
        <item x="73"/>
        <item x="322"/>
        <item x="239"/>
        <item x="39"/>
        <item x="3"/>
        <item x="30"/>
        <item x="299"/>
        <item x="221"/>
        <item x="140"/>
        <item x="281"/>
        <item x="79"/>
        <item x="36"/>
        <item x="10"/>
        <item x="231"/>
        <item x="58"/>
        <item x="284"/>
        <item x="97"/>
        <item x="22"/>
        <item x="135"/>
        <item x="18"/>
        <item x="185"/>
        <item x="307"/>
        <item x="70"/>
        <item x="165"/>
        <item x="193"/>
        <item x="278"/>
        <item x="340"/>
        <item x="332"/>
        <item x="166"/>
        <item x="249"/>
        <item x="146"/>
        <item x="254"/>
        <item x="203"/>
        <item x="184"/>
        <item x="330"/>
        <item x="353"/>
        <item x="200"/>
        <item x="82"/>
        <item x="157"/>
        <item x="23"/>
        <item x="296"/>
        <item x="241"/>
        <item x="149"/>
        <item x="302"/>
        <item x="37"/>
        <item x="71"/>
        <item x="266"/>
        <item x="133"/>
        <item x="170"/>
        <item x="6"/>
        <item x="163"/>
        <item x="321"/>
        <item x="137"/>
        <item x="19"/>
        <item x="143"/>
        <item x="117"/>
        <item x="40"/>
        <item x="116"/>
        <item x="69"/>
        <item x="26"/>
        <item x="46"/>
        <item x="62"/>
        <item x="273"/>
        <item x="72"/>
        <item x="355"/>
        <item x="300"/>
        <item x="141"/>
        <item x="310"/>
        <item x="113"/>
        <item x="362"/>
        <item x="323"/>
        <item x="21"/>
        <item x="315"/>
        <item x="14"/>
        <item x="337"/>
        <item x="243"/>
        <item x="201"/>
        <item x="306"/>
        <item x="38"/>
        <item x="269"/>
        <item x="54"/>
        <item x="348"/>
        <item x="258"/>
        <item x="25"/>
        <item x="122"/>
        <item x="187"/>
        <item x="43"/>
        <item x="155"/>
        <item x="17"/>
        <item x="108"/>
        <item x="371"/>
        <item x="346"/>
        <item x="328"/>
        <item x="275"/>
        <item x="151"/>
        <item x="256"/>
        <item x="351"/>
        <item x="93"/>
        <item x="29"/>
        <item x="218"/>
        <item x="216"/>
        <item x="252"/>
        <item x="212"/>
        <item x="265"/>
        <item x="105"/>
        <item x="251"/>
        <item x="24"/>
        <item x="309"/>
        <item x="74"/>
        <item x="292"/>
        <item x="274"/>
        <item x="77"/>
        <item x="136"/>
        <item x="233"/>
        <item x="56"/>
        <item x="91"/>
        <item x="160"/>
        <item x="234"/>
        <item x="369"/>
        <item x="339"/>
        <item x="205"/>
        <item x="268"/>
        <item x="162"/>
        <item x="114"/>
        <item x="31"/>
        <item x="359"/>
        <item x="57"/>
        <item x="65"/>
        <item x="121"/>
        <item x="261"/>
        <item x="178"/>
        <item x="248"/>
        <item x="88"/>
        <item x="222"/>
        <item x="370"/>
        <item x="199"/>
        <item x="368"/>
        <item x="245"/>
        <item x="153"/>
        <item x="98"/>
        <item x="288"/>
        <item x="182"/>
        <item x="244"/>
        <item x="8"/>
        <item x="271"/>
        <item x="335"/>
        <item x="382"/>
        <item x="159"/>
        <item x="104"/>
        <item x="7"/>
        <item x="364"/>
        <item x="167"/>
        <item x="51"/>
        <item x="161"/>
        <item x="11"/>
        <item x="272"/>
        <item x="308"/>
        <item x="75"/>
        <item x="174"/>
        <item x="209"/>
        <item x="2"/>
        <item x="280"/>
        <item x="60"/>
        <item x="264"/>
        <item x="171"/>
        <item x="331"/>
        <item x="124"/>
        <item x="283"/>
        <item x="210"/>
        <item x="350"/>
        <item x="189"/>
        <item x="12"/>
        <item x="44"/>
        <item x="238"/>
        <item x="4"/>
        <item x="301"/>
        <item x="129"/>
        <item x="361"/>
        <item x="132"/>
        <item x="329"/>
        <item x="188"/>
        <item x="349"/>
        <item x="347"/>
        <item x="303"/>
        <item x="223"/>
        <item x="87"/>
        <item x="345"/>
        <item x="158"/>
        <item x="381"/>
        <item x="213"/>
        <item x="173"/>
        <item x="84"/>
        <item x="42"/>
        <item x="255"/>
        <item x="27"/>
        <item x="247"/>
        <item x="128"/>
        <item x="55"/>
        <item x="131"/>
        <item x="94"/>
        <item x="86"/>
        <item x="81"/>
        <item x="365"/>
        <item x="195"/>
        <item x="250"/>
        <item x="101"/>
        <item x="20"/>
        <item x="267"/>
        <item x="358"/>
        <item x="164"/>
        <item x="354"/>
        <item x="324"/>
        <item x="227"/>
        <item x="68"/>
        <item x="220"/>
        <item x="379"/>
        <item x="363"/>
        <item x="172"/>
        <item x="47"/>
        <item x="53"/>
        <item x="294"/>
        <item x="204"/>
        <item x="206"/>
        <item x="208"/>
        <item x="139"/>
        <item x="314"/>
        <item x="125"/>
        <item x="168"/>
        <item x="326"/>
        <item x="126"/>
        <item x="78"/>
        <item x="376"/>
        <item x="142"/>
        <item x="226"/>
        <item x="259"/>
        <item x="232"/>
        <item x="115"/>
        <item x="214"/>
        <item x="263"/>
        <item x="318"/>
        <item x="179"/>
        <item x="246"/>
        <item x="96"/>
        <item x="145"/>
        <item x="118"/>
        <item x="147"/>
        <item x="92"/>
        <item x="99"/>
        <item x="380"/>
        <item x="383"/>
        <item x="48"/>
        <item x="197"/>
        <item x="50"/>
        <item x="191"/>
        <item x="373"/>
        <item x="360"/>
        <item x="316"/>
        <item x="120"/>
        <item x="67"/>
        <item x="289"/>
        <item x="211"/>
        <item x="175"/>
        <item x="279"/>
        <item x="0"/>
        <item x="16"/>
        <item x="35"/>
        <item x="156"/>
        <item x="228"/>
        <item x="90"/>
        <item x="32"/>
        <item x="134"/>
        <item x="319"/>
        <item x="290"/>
        <item x="109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08">
    <i>
      <x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4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5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6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7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8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9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0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1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</rowItems>
  <colItems count="1">
    <i/>
  </colItems>
  <dataFields count="1">
    <dataField name="Sum of Revenue" fld="2" baseField="0" baseItem="0" numFmtId="2"/>
  </dataFields>
  <formats count="3">
    <format dxfId="2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C36" firstHeaderRow="1" firstDataRow="2" firstDataCol="1"/>
  <pivotFields count="10">
    <pivotField axis="axisCol" showAll="0">
      <items count="13">
        <item h="1" x="2"/>
        <item h="1" x="4"/>
        <item h="1" x="8"/>
        <item x="3"/>
        <item h="1" x="6"/>
        <item h="1" x="9"/>
        <item h="1" x="5"/>
        <item h="1" x="11"/>
        <item x="10"/>
        <item h="1" x="7"/>
        <item h="1" x="1"/>
        <item h="1" x="0"/>
        <item t="default"/>
      </items>
    </pivotField>
    <pivotField axis="axisRow" numFmtId="14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multipleItemSelectionAllowed="1" showAll="0">
      <items count="385">
        <item x="186"/>
        <item x="198"/>
        <item x="219"/>
        <item x="305"/>
        <item x="229"/>
        <item x="89"/>
        <item x="177"/>
        <item x="343"/>
        <item x="102"/>
        <item x="34"/>
        <item x="287"/>
        <item x="320"/>
        <item x="367"/>
        <item x="15"/>
        <item x="127"/>
        <item x="176"/>
        <item x="49"/>
        <item x="237"/>
        <item x="180"/>
        <item x="190"/>
        <item x="41"/>
        <item x="103"/>
        <item x="260"/>
        <item x="224"/>
        <item x="240"/>
        <item x="5"/>
        <item x="225"/>
        <item x="144"/>
        <item x="217"/>
        <item x="298"/>
        <item x="334"/>
        <item x="111"/>
        <item x="352"/>
        <item x="148"/>
        <item x="313"/>
        <item x="192"/>
        <item x="66"/>
        <item x="1"/>
        <item x="95"/>
        <item x="338"/>
        <item x="311"/>
        <item x="28"/>
        <item x="312"/>
        <item x="194"/>
        <item x="100"/>
        <item x="285"/>
        <item x="119"/>
        <item x="138"/>
        <item x="372"/>
        <item x="45"/>
        <item x="375"/>
        <item x="333"/>
        <item x="270"/>
        <item x="52"/>
        <item x="293"/>
        <item x="357"/>
        <item x="336"/>
        <item x="374"/>
        <item x="13"/>
        <item x="277"/>
        <item x="327"/>
        <item x="235"/>
        <item x="366"/>
        <item x="85"/>
        <item x="106"/>
        <item x="230"/>
        <item x="253"/>
        <item x="80"/>
        <item x="59"/>
        <item x="154"/>
        <item x="112"/>
        <item x="257"/>
        <item x="181"/>
        <item x="63"/>
        <item x="123"/>
        <item x="207"/>
        <item x="262"/>
        <item x="342"/>
        <item x="196"/>
        <item x="304"/>
        <item x="9"/>
        <item x="295"/>
        <item x="107"/>
        <item x="150"/>
        <item x="344"/>
        <item x="242"/>
        <item x="61"/>
        <item x="33"/>
        <item x="276"/>
        <item x="377"/>
        <item x="64"/>
        <item x="236"/>
        <item x="169"/>
        <item x="76"/>
        <item x="378"/>
        <item x="317"/>
        <item x="356"/>
        <item x="291"/>
        <item x="286"/>
        <item x="215"/>
        <item x="83"/>
        <item x="183"/>
        <item x="282"/>
        <item x="110"/>
        <item x="152"/>
        <item x="297"/>
        <item x="202"/>
        <item x="130"/>
        <item x="325"/>
        <item x="341"/>
        <item x="73"/>
        <item x="322"/>
        <item x="239"/>
        <item x="39"/>
        <item x="3"/>
        <item x="30"/>
        <item x="299"/>
        <item x="221"/>
        <item x="140"/>
        <item x="281"/>
        <item x="79"/>
        <item x="36"/>
        <item x="10"/>
        <item x="231"/>
        <item x="58"/>
        <item x="284"/>
        <item x="97"/>
        <item x="22"/>
        <item x="135"/>
        <item x="18"/>
        <item x="185"/>
        <item x="307"/>
        <item x="70"/>
        <item x="165"/>
        <item x="193"/>
        <item x="278"/>
        <item x="340"/>
        <item x="332"/>
        <item x="166"/>
        <item x="249"/>
        <item x="146"/>
        <item x="254"/>
        <item x="203"/>
        <item x="184"/>
        <item x="330"/>
        <item x="353"/>
        <item x="200"/>
        <item x="82"/>
        <item x="157"/>
        <item x="23"/>
        <item x="296"/>
        <item x="241"/>
        <item x="149"/>
        <item x="302"/>
        <item x="37"/>
        <item x="71"/>
        <item x="266"/>
        <item x="133"/>
        <item x="170"/>
        <item x="6"/>
        <item x="163"/>
        <item x="321"/>
        <item x="137"/>
        <item x="19"/>
        <item x="143"/>
        <item x="117"/>
        <item x="40"/>
        <item x="116"/>
        <item x="69"/>
        <item x="26"/>
        <item x="46"/>
        <item x="62"/>
        <item x="273"/>
        <item x="72"/>
        <item x="355"/>
        <item x="300"/>
        <item x="141"/>
        <item x="310"/>
        <item x="113"/>
        <item x="362"/>
        <item x="323"/>
        <item x="21"/>
        <item x="315"/>
        <item x="14"/>
        <item x="337"/>
        <item x="243"/>
        <item x="201"/>
        <item x="306"/>
        <item x="38"/>
        <item x="269"/>
        <item x="54"/>
        <item x="348"/>
        <item x="258"/>
        <item x="25"/>
        <item x="122"/>
        <item x="187"/>
        <item x="43"/>
        <item x="155"/>
        <item x="17"/>
        <item x="108"/>
        <item x="371"/>
        <item x="346"/>
        <item x="328"/>
        <item x="275"/>
        <item x="151"/>
        <item x="256"/>
        <item x="351"/>
        <item x="93"/>
        <item x="29"/>
        <item x="218"/>
        <item x="216"/>
        <item x="252"/>
        <item x="212"/>
        <item x="265"/>
        <item x="105"/>
        <item x="251"/>
        <item x="24"/>
        <item x="309"/>
        <item x="74"/>
        <item x="292"/>
        <item x="274"/>
        <item x="77"/>
        <item x="136"/>
        <item x="233"/>
        <item x="56"/>
        <item x="91"/>
        <item x="160"/>
        <item x="234"/>
        <item x="369"/>
        <item x="339"/>
        <item x="205"/>
        <item x="268"/>
        <item x="162"/>
        <item x="114"/>
        <item x="31"/>
        <item x="359"/>
        <item x="57"/>
        <item x="65"/>
        <item x="121"/>
        <item x="261"/>
        <item x="178"/>
        <item x="248"/>
        <item x="88"/>
        <item x="222"/>
        <item x="370"/>
        <item x="199"/>
        <item x="368"/>
        <item x="245"/>
        <item x="153"/>
        <item x="98"/>
        <item x="288"/>
        <item x="182"/>
        <item x="244"/>
        <item x="8"/>
        <item x="271"/>
        <item x="335"/>
        <item x="382"/>
        <item x="159"/>
        <item x="104"/>
        <item x="7"/>
        <item x="364"/>
        <item x="167"/>
        <item x="51"/>
        <item x="161"/>
        <item x="11"/>
        <item x="272"/>
        <item x="308"/>
        <item x="75"/>
        <item x="174"/>
        <item x="209"/>
        <item x="2"/>
        <item x="280"/>
        <item x="60"/>
        <item x="264"/>
        <item x="171"/>
        <item x="331"/>
        <item x="124"/>
        <item x="283"/>
        <item x="210"/>
        <item x="350"/>
        <item x="189"/>
        <item x="12"/>
        <item x="44"/>
        <item x="238"/>
        <item x="4"/>
        <item x="301"/>
        <item x="129"/>
        <item x="361"/>
        <item x="132"/>
        <item x="329"/>
        <item x="188"/>
        <item x="349"/>
        <item x="347"/>
        <item x="303"/>
        <item x="223"/>
        <item x="87"/>
        <item x="345"/>
        <item x="158"/>
        <item x="381"/>
        <item x="213"/>
        <item x="173"/>
        <item x="84"/>
        <item x="42"/>
        <item x="255"/>
        <item x="27"/>
        <item x="247"/>
        <item x="128"/>
        <item x="55"/>
        <item x="131"/>
        <item x="94"/>
        <item x="86"/>
        <item x="81"/>
        <item x="365"/>
        <item x="195"/>
        <item x="250"/>
        <item x="101"/>
        <item x="20"/>
        <item x="267"/>
        <item x="358"/>
        <item x="164"/>
        <item x="354"/>
        <item x="324"/>
        <item x="227"/>
        <item x="68"/>
        <item x="220"/>
        <item x="379"/>
        <item x="363"/>
        <item x="172"/>
        <item x="47"/>
        <item x="53"/>
        <item x="294"/>
        <item x="204"/>
        <item x="206"/>
        <item x="208"/>
        <item x="139"/>
        <item x="314"/>
        <item x="125"/>
        <item x="168"/>
        <item x="326"/>
        <item x="126"/>
        <item x="78"/>
        <item x="376"/>
        <item x="142"/>
        <item x="226"/>
        <item x="259"/>
        <item x="232"/>
        <item x="115"/>
        <item x="214"/>
        <item x="263"/>
        <item x="318"/>
        <item x="179"/>
        <item x="246"/>
        <item x="96"/>
        <item x="145"/>
        <item x="118"/>
        <item x="147"/>
        <item x="92"/>
        <item x="99"/>
        <item x="380"/>
        <item x="383"/>
        <item x="48"/>
        <item x="197"/>
        <item x="50"/>
        <item x="191"/>
        <item x="373"/>
        <item x="360"/>
        <item x="316"/>
        <item x="120"/>
        <item x="67"/>
        <item x="289"/>
        <item x="211"/>
        <item x="175"/>
        <item x="279"/>
        <item x="0"/>
        <item x="16"/>
        <item x="35"/>
        <item x="156"/>
        <item x="228"/>
        <item x="90"/>
        <item x="32"/>
        <item x="134"/>
        <item x="319"/>
        <item x="290"/>
        <item x="10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0"/>
  </colFields>
  <colItems count="2">
    <i>
      <x v="3"/>
    </i>
    <i>
      <x v="8"/>
    </i>
  </colItems>
  <dataFields count="1">
    <dataField name="Sum of Net Incom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grandTotalCaption="Average of ROE (%)" updatedVersion="5" minRefreshableVersion="3" useAutoFormatting="1" colGrandTotals="0" itemPrintTitles="1" createdVersion="5" indent="0" outline="1" outlineData="1" multipleFieldFilters="0">
  <location ref="A3:M9" firstHeaderRow="1" firstDataRow="2" firstDataCol="1"/>
  <pivotFields count="10">
    <pivotField axis="axisCol" showAll="0">
      <items count="13">
        <item x="2"/>
        <item x="4"/>
        <item x="8"/>
        <item x="3"/>
        <item x="6"/>
        <item x="9"/>
        <item x="5"/>
        <item x="11"/>
        <item x="10"/>
        <item x="7"/>
        <item x="1"/>
        <item x="0"/>
        <item t="default"/>
      </items>
    </pivotField>
    <pivotField axis="axisRow" numFmtId="14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x="16"/>
        <item x="17"/>
        <item x="18"/>
        <item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1"/>
  </rowFields>
  <rowItems count="5">
    <i>
      <x v="16"/>
    </i>
    <i>
      <x v="17"/>
    </i>
    <i>
      <x v="18"/>
    </i>
    <i>
      <x v="19"/>
    </i>
    <i t="grand">
      <x/>
    </i>
  </rowItems>
  <colFields count="1">
    <field x="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Average of ROE (%)" fld="8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chartFormat="29">
  <location ref="A3:B15" firstHeaderRow="1" firstDataRow="1" firstDataCol="1"/>
  <pivotFields count="10">
    <pivotField axis="axisRow" showAll="0">
      <items count="13">
        <item sd="0" x="2"/>
        <item sd="0" x="4"/>
        <item sd="0" x="8"/>
        <item sd="0" x="3"/>
        <item sd="0" x="6"/>
        <item sd="0" x="9"/>
        <item sd="0" x="5"/>
        <item sd="0" x="11"/>
        <item sd="0" x="10"/>
        <item sd="0" x="7"/>
        <item sd="0" x="1"/>
        <item sd="0" x="0"/>
        <item t="default"/>
      </items>
    </pivotField>
    <pivotField axis="axisRow" numFmtId="14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x="28"/>
        <item x="29"/>
        <item x="30"/>
        <item x="3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2" baseField="0" baseItem="0"/>
  </dataFields>
  <chartFormats count="13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2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2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C35" firstHeaderRow="0" firstDataRow="1" firstDataCol="1" rowPageCount="1" colPageCount="1"/>
  <pivotFields count="10">
    <pivotField axis="axisPage" multipleItemSelectionAllowed="1" showAll="0">
      <items count="13">
        <item h="1" x="2"/>
        <item h="1" x="4"/>
        <item h="1" x="8"/>
        <item x="3"/>
        <item h="1" x="6"/>
        <item h="1" x="9"/>
        <item h="1" x="5"/>
        <item h="1" x="11"/>
        <item x="10"/>
        <item h="1" x="7"/>
        <item h="1" x="1"/>
        <item x="0"/>
        <item t="default"/>
      </items>
    </pivotField>
    <pivotField axis="axisRow" numFmtId="14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Net Income" fld="3" baseField="0" baseItem="0"/>
    <dataField name="Sum of Debt to Equity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4" firstHeaderRow="1" firstDataRow="1" firstDataCol="1"/>
  <pivotFields count="10">
    <pivotField axis="axisRow" showAll="0">
      <items count="13">
        <item h="1" x="2"/>
        <item h="1" x="4"/>
        <item h="1" x="8"/>
        <item h="1" x="3"/>
        <item h="1" x="6"/>
        <item x="9"/>
        <item x="5"/>
        <item h="1" x="11"/>
        <item h="1" x="10"/>
        <item h="1" x="7"/>
        <item h="1" x="1"/>
        <item h="1" x="0"/>
        <item t="default"/>
      </items>
    </pivotField>
    <pivotField axis="axisRow" numFmtId="14" multipleItemSelectionAllowed="1" showAll="0">
      <items count="33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x="28"/>
        <item x="29"/>
        <item x="30"/>
        <item x="3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1">
    <i>
      <x v="5"/>
    </i>
    <i r="1">
      <x v="28"/>
    </i>
    <i r="1">
      <x v="29"/>
    </i>
    <i r="1">
      <x v="30"/>
    </i>
    <i r="1">
      <x v="31"/>
    </i>
    <i>
      <x v="6"/>
    </i>
    <i r="1">
      <x v="28"/>
    </i>
    <i r="1">
      <x v="29"/>
    </i>
    <i r="1">
      <x v="30"/>
    </i>
    <i r="1">
      <x v="31"/>
    </i>
    <i t="grand">
      <x/>
    </i>
  </rowItems>
  <colItems count="1">
    <i/>
  </colItems>
  <dataFields count="1">
    <dataField name="Sum of Net Incom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5"/>
  <sheetViews>
    <sheetView tabSelected="1" workbookViewId="0">
      <selection activeCell="K382" sqref="K382"/>
    </sheetView>
  </sheetViews>
  <sheetFormatPr defaultRowHeight="15" x14ac:dyDescent="0.25"/>
  <cols>
    <col min="1" max="1" width="20.7109375" bestFit="1" customWidth="1"/>
    <col min="2" max="2" width="10.7109375" bestFit="1" customWidth="1"/>
    <col min="3" max="9" width="12" bestFit="1" customWidth="1"/>
    <col min="10" max="10" width="13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 t="s">
        <v>10</v>
      </c>
      <c r="B2" s="1">
        <v>42825</v>
      </c>
      <c r="C2">
        <v>19695988685</v>
      </c>
      <c r="D2">
        <v>1329397719</v>
      </c>
      <c r="E2">
        <v>24520605687</v>
      </c>
      <c r="F2">
        <v>58120450678</v>
      </c>
      <c r="G2">
        <v>33599844991</v>
      </c>
      <c r="H2">
        <v>2.2873148830000001</v>
      </c>
      <c r="I2">
        <v>3.9565590820000001</v>
      </c>
      <c r="J2">
        <v>0.72978329799999997</v>
      </c>
    </row>
    <row r="3" spans="1:10" x14ac:dyDescent="0.25">
      <c r="A3" t="s">
        <v>10</v>
      </c>
      <c r="B3" s="1">
        <v>42916</v>
      </c>
      <c r="C3">
        <v>7201825633</v>
      </c>
      <c r="D3">
        <v>722080990.60000002</v>
      </c>
      <c r="E3">
        <v>27556950386</v>
      </c>
      <c r="F3">
        <v>53860356064</v>
      </c>
      <c r="G3">
        <v>26303405678</v>
      </c>
      <c r="H3">
        <v>1.340653949</v>
      </c>
      <c r="I3">
        <v>2.745199612</v>
      </c>
      <c r="J3">
        <v>1.047657126</v>
      </c>
    </row>
    <row r="4" spans="1:10" x14ac:dyDescent="0.25">
      <c r="A4" t="s">
        <v>10</v>
      </c>
      <c r="B4" s="1">
        <v>43008</v>
      </c>
      <c r="C4">
        <v>15706422457</v>
      </c>
      <c r="D4">
        <v>2263166301</v>
      </c>
      <c r="E4">
        <v>11556351337</v>
      </c>
      <c r="F4">
        <v>26096752248</v>
      </c>
      <c r="G4">
        <v>14540400911</v>
      </c>
      <c r="H4">
        <v>8.6722143789999997</v>
      </c>
      <c r="I4">
        <v>15.564676070000001</v>
      </c>
      <c r="J4">
        <v>0.79477528900000005</v>
      </c>
    </row>
    <row r="5" spans="1:10" x14ac:dyDescent="0.25">
      <c r="A5" t="s">
        <v>10</v>
      </c>
      <c r="B5" s="1">
        <v>43100</v>
      </c>
      <c r="C5">
        <v>9750496618</v>
      </c>
      <c r="D5">
        <v>516889818.39999998</v>
      </c>
      <c r="E5">
        <v>21354201295</v>
      </c>
      <c r="F5">
        <v>54861302788</v>
      </c>
      <c r="G5">
        <v>33507101493</v>
      </c>
      <c r="H5">
        <v>0.94217561800000005</v>
      </c>
      <c r="I5">
        <v>1.542627668</v>
      </c>
      <c r="J5">
        <v>0.63730374599999995</v>
      </c>
    </row>
    <row r="6" spans="1:10" x14ac:dyDescent="0.25">
      <c r="A6" t="s">
        <v>10</v>
      </c>
      <c r="B6" s="1">
        <v>43190</v>
      </c>
      <c r="C6">
        <v>15989256775</v>
      </c>
      <c r="D6">
        <v>1291419013</v>
      </c>
      <c r="E6">
        <v>42659096630</v>
      </c>
      <c r="F6">
        <v>53863933584</v>
      </c>
      <c r="G6">
        <v>11204836955</v>
      </c>
      <c r="H6">
        <v>2.3975579339999999</v>
      </c>
      <c r="I6">
        <v>11.52554935</v>
      </c>
      <c r="J6">
        <v>3.8072036929999999</v>
      </c>
    </row>
    <row r="7" spans="1:10" x14ac:dyDescent="0.25">
      <c r="A7" t="s">
        <v>10</v>
      </c>
      <c r="B7" s="1">
        <v>43281</v>
      </c>
      <c r="C7">
        <v>6601886883</v>
      </c>
      <c r="D7">
        <v>674015397.39999998</v>
      </c>
      <c r="E7">
        <v>48397997453</v>
      </c>
      <c r="F7">
        <v>95156833814</v>
      </c>
      <c r="G7">
        <v>46758836361</v>
      </c>
      <c r="H7">
        <v>0.70832053800000006</v>
      </c>
      <c r="I7">
        <v>1.441471709</v>
      </c>
      <c r="J7">
        <v>1.035055643</v>
      </c>
    </row>
    <row r="8" spans="1:10" x14ac:dyDescent="0.25">
      <c r="A8" t="s">
        <v>10</v>
      </c>
      <c r="B8" s="1">
        <v>43373</v>
      </c>
      <c r="C8">
        <v>11494666314</v>
      </c>
      <c r="D8">
        <v>1658196131</v>
      </c>
      <c r="E8">
        <v>14924498356</v>
      </c>
      <c r="F8">
        <v>62462464157</v>
      </c>
      <c r="G8">
        <v>47537965801</v>
      </c>
      <c r="H8">
        <v>2.6547081559999999</v>
      </c>
      <c r="I8">
        <v>3.4881512130000001</v>
      </c>
      <c r="J8">
        <v>0.31394903200000002</v>
      </c>
    </row>
    <row r="9" spans="1:10" x14ac:dyDescent="0.25">
      <c r="A9" t="s">
        <v>10</v>
      </c>
      <c r="B9" s="1">
        <v>43465</v>
      </c>
      <c r="C9">
        <v>15132692627</v>
      </c>
      <c r="D9">
        <v>1296423798</v>
      </c>
      <c r="E9">
        <v>22603216585</v>
      </c>
      <c r="F9">
        <v>52612061095</v>
      </c>
      <c r="G9">
        <v>30008844510</v>
      </c>
      <c r="H9">
        <v>2.4641190079999999</v>
      </c>
      <c r="I9">
        <v>4.3201390100000001</v>
      </c>
      <c r="J9">
        <v>0.75321849100000005</v>
      </c>
    </row>
    <row r="10" spans="1:10" x14ac:dyDescent="0.25">
      <c r="A10" t="s">
        <v>10</v>
      </c>
      <c r="B10" s="1">
        <v>43555</v>
      </c>
      <c r="C10">
        <v>14907937768</v>
      </c>
      <c r="D10">
        <v>1438598483</v>
      </c>
      <c r="E10">
        <v>20854112480</v>
      </c>
      <c r="F10">
        <v>54405171112</v>
      </c>
      <c r="G10">
        <v>33551058632</v>
      </c>
      <c r="H10">
        <v>2.6442311520000001</v>
      </c>
      <c r="I10">
        <v>4.2877886460000001</v>
      </c>
      <c r="J10">
        <v>0.62156347199999995</v>
      </c>
    </row>
    <row r="11" spans="1:10" x14ac:dyDescent="0.25">
      <c r="A11" t="s">
        <v>10</v>
      </c>
      <c r="B11" s="1">
        <v>43646</v>
      </c>
      <c r="C11">
        <v>8797334817</v>
      </c>
      <c r="D11">
        <v>1311084923</v>
      </c>
      <c r="E11">
        <v>25365853191</v>
      </c>
      <c r="F11">
        <v>40151924792</v>
      </c>
      <c r="G11">
        <v>14786071601</v>
      </c>
      <c r="H11">
        <v>3.2653102679999999</v>
      </c>
      <c r="I11">
        <v>8.8670267430000003</v>
      </c>
      <c r="J11">
        <v>1.715523492</v>
      </c>
    </row>
    <row r="12" spans="1:10" x14ac:dyDescent="0.25">
      <c r="A12" t="s">
        <v>10</v>
      </c>
      <c r="B12" s="1">
        <v>43738</v>
      </c>
      <c r="C12">
        <v>10142417014</v>
      </c>
      <c r="D12">
        <v>1306294910</v>
      </c>
      <c r="E12">
        <v>21657205056</v>
      </c>
      <c r="F12">
        <v>33344564963</v>
      </c>
      <c r="G12">
        <v>11687359907</v>
      </c>
      <c r="H12">
        <v>3.9175647109999998</v>
      </c>
      <c r="I12">
        <v>11.17698882</v>
      </c>
      <c r="J12">
        <v>1.853045104</v>
      </c>
    </row>
    <row r="13" spans="1:10" x14ac:dyDescent="0.25">
      <c r="A13" t="s">
        <v>10</v>
      </c>
      <c r="B13" s="1">
        <v>43830</v>
      </c>
      <c r="C13">
        <v>15448794996</v>
      </c>
      <c r="D13">
        <v>1760261975</v>
      </c>
      <c r="E13">
        <v>43856467673</v>
      </c>
      <c r="F13">
        <v>93429721556</v>
      </c>
      <c r="G13">
        <v>49573253883</v>
      </c>
      <c r="H13">
        <v>1.884049257</v>
      </c>
      <c r="I13">
        <v>3.5508300080000001</v>
      </c>
      <c r="J13">
        <v>0.88468002899999998</v>
      </c>
    </row>
    <row r="14" spans="1:10" x14ac:dyDescent="0.25">
      <c r="A14" t="s">
        <v>10</v>
      </c>
      <c r="B14" s="1">
        <v>43921</v>
      </c>
      <c r="C14">
        <v>15933280023</v>
      </c>
      <c r="D14">
        <v>1743770422</v>
      </c>
      <c r="E14">
        <v>44490184859</v>
      </c>
      <c r="F14">
        <v>59864740520</v>
      </c>
      <c r="G14">
        <v>15374555661</v>
      </c>
      <c r="H14">
        <v>2.9128505480000002</v>
      </c>
      <c r="I14">
        <v>11.34192402</v>
      </c>
      <c r="J14">
        <v>2.8937541900000001</v>
      </c>
    </row>
    <row r="15" spans="1:10" x14ac:dyDescent="0.25">
      <c r="A15" t="s">
        <v>10</v>
      </c>
      <c r="B15" s="1">
        <v>44012</v>
      </c>
      <c r="C15">
        <v>7895384436</v>
      </c>
      <c r="D15">
        <v>511149178.89999998</v>
      </c>
      <c r="E15">
        <v>17592686846</v>
      </c>
      <c r="F15">
        <v>61107816340</v>
      </c>
      <c r="G15">
        <v>43515129494</v>
      </c>
      <c r="H15">
        <v>0.83647102699999998</v>
      </c>
      <c r="I15">
        <v>1.1746470360000001</v>
      </c>
      <c r="J15">
        <v>0.404288969</v>
      </c>
    </row>
    <row r="16" spans="1:10" x14ac:dyDescent="0.25">
      <c r="A16" t="s">
        <v>10</v>
      </c>
      <c r="B16" s="1">
        <v>44104</v>
      </c>
      <c r="C16">
        <v>12436929028</v>
      </c>
      <c r="D16">
        <v>1654939942</v>
      </c>
      <c r="E16">
        <v>49496396884</v>
      </c>
      <c r="F16">
        <v>90362459109</v>
      </c>
      <c r="G16">
        <v>40866062225</v>
      </c>
      <c r="H16">
        <v>1.831446331</v>
      </c>
      <c r="I16">
        <v>4.0496682369999997</v>
      </c>
      <c r="J16">
        <v>1.2111858639999999</v>
      </c>
    </row>
    <row r="17" spans="1:10" x14ac:dyDescent="0.25">
      <c r="A17" t="s">
        <v>10</v>
      </c>
      <c r="B17" s="1">
        <v>44196</v>
      </c>
      <c r="C17">
        <v>6074909806</v>
      </c>
      <c r="D17">
        <v>875656602.5</v>
      </c>
      <c r="E17">
        <v>42262965768</v>
      </c>
      <c r="F17">
        <v>80569106208</v>
      </c>
      <c r="G17">
        <v>38306140440</v>
      </c>
      <c r="H17">
        <v>1.0868391669999999</v>
      </c>
      <c r="I17">
        <v>2.2859431739999998</v>
      </c>
      <c r="J17">
        <v>1.1032948060000001</v>
      </c>
    </row>
    <row r="18" spans="1:10" x14ac:dyDescent="0.25">
      <c r="A18" t="s">
        <v>10</v>
      </c>
      <c r="B18" s="1">
        <v>44286</v>
      </c>
      <c r="C18">
        <v>19710269369</v>
      </c>
      <c r="D18">
        <v>1137314233</v>
      </c>
      <c r="E18">
        <v>36066540496</v>
      </c>
      <c r="F18">
        <v>64427162211</v>
      </c>
      <c r="G18">
        <v>28360621715</v>
      </c>
      <c r="H18">
        <v>1.7652713440000001</v>
      </c>
      <c r="I18">
        <v>4.010187943</v>
      </c>
      <c r="J18">
        <v>1.2717119130000001</v>
      </c>
    </row>
    <row r="19" spans="1:10" x14ac:dyDescent="0.25">
      <c r="A19" t="s">
        <v>10</v>
      </c>
      <c r="B19" s="1">
        <v>44377</v>
      </c>
      <c r="C19">
        <v>12858026662</v>
      </c>
      <c r="D19">
        <v>1124878943</v>
      </c>
      <c r="E19">
        <v>17059669622</v>
      </c>
      <c r="F19">
        <v>65938237159</v>
      </c>
      <c r="G19">
        <v>48878567538</v>
      </c>
      <c r="H19">
        <v>1.705958471</v>
      </c>
      <c r="I19">
        <v>2.3013746089999998</v>
      </c>
      <c r="J19">
        <v>0.34902147300000003</v>
      </c>
    </row>
    <row r="20" spans="1:10" x14ac:dyDescent="0.25">
      <c r="A20" t="s">
        <v>10</v>
      </c>
      <c r="B20" s="1">
        <v>44469</v>
      </c>
      <c r="C20">
        <v>10294096366</v>
      </c>
      <c r="D20">
        <v>1404729444</v>
      </c>
      <c r="E20">
        <v>27027656894</v>
      </c>
      <c r="F20">
        <v>48359524775</v>
      </c>
      <c r="G20">
        <v>21331867881</v>
      </c>
      <c r="H20">
        <v>2.9047627130000002</v>
      </c>
      <c r="I20">
        <v>6.5851216199999998</v>
      </c>
      <c r="J20">
        <v>1.267008452</v>
      </c>
    </row>
    <row r="21" spans="1:10" x14ac:dyDescent="0.25">
      <c r="A21" t="s">
        <v>10</v>
      </c>
      <c r="B21" s="1">
        <v>44561</v>
      </c>
      <c r="C21">
        <v>11544833810</v>
      </c>
      <c r="D21">
        <v>1709962819</v>
      </c>
      <c r="E21">
        <v>14660160673</v>
      </c>
      <c r="F21">
        <v>40260511363</v>
      </c>
      <c r="G21">
        <v>25600350690</v>
      </c>
      <c r="H21">
        <v>4.2472456540000003</v>
      </c>
      <c r="I21">
        <v>6.6794507620000001</v>
      </c>
      <c r="J21">
        <v>0.57265468200000003</v>
      </c>
    </row>
    <row r="22" spans="1:10" x14ac:dyDescent="0.25">
      <c r="A22" t="s">
        <v>10</v>
      </c>
      <c r="B22" s="1">
        <v>44651</v>
      </c>
      <c r="C22">
        <v>17383281301</v>
      </c>
      <c r="D22">
        <v>2467286454</v>
      </c>
      <c r="E22">
        <v>26847350661</v>
      </c>
      <c r="F22">
        <v>44033610784</v>
      </c>
      <c r="G22">
        <v>17186260123</v>
      </c>
      <c r="H22">
        <v>5.6031890410000003</v>
      </c>
      <c r="I22">
        <v>14.35615681</v>
      </c>
      <c r="J22">
        <v>1.5621403650000001</v>
      </c>
    </row>
    <row r="23" spans="1:10" x14ac:dyDescent="0.25">
      <c r="A23" t="s">
        <v>10</v>
      </c>
      <c r="B23" s="1">
        <v>44742</v>
      </c>
      <c r="C23">
        <v>12314464977</v>
      </c>
      <c r="D23">
        <v>1478784803</v>
      </c>
      <c r="E23">
        <v>25112871815</v>
      </c>
      <c r="F23">
        <v>44050938495</v>
      </c>
      <c r="G23">
        <v>18938066680</v>
      </c>
      <c r="H23">
        <v>3.3569881910000001</v>
      </c>
      <c r="I23">
        <v>7.8085309770000002</v>
      </c>
      <c r="J23">
        <v>1.326052561</v>
      </c>
    </row>
    <row r="24" spans="1:10" x14ac:dyDescent="0.25">
      <c r="A24" t="s">
        <v>10</v>
      </c>
      <c r="B24" s="1">
        <v>44834</v>
      </c>
      <c r="C24">
        <v>10260879440</v>
      </c>
      <c r="D24">
        <v>889227522</v>
      </c>
      <c r="E24">
        <v>10690275300</v>
      </c>
      <c r="F24">
        <v>28159139854</v>
      </c>
      <c r="G24">
        <v>17468864554</v>
      </c>
      <c r="H24">
        <v>3.1578646460000002</v>
      </c>
      <c r="I24">
        <v>5.0903567269999996</v>
      </c>
      <c r="J24">
        <v>0.61196165700000005</v>
      </c>
    </row>
    <row r="25" spans="1:10" x14ac:dyDescent="0.25">
      <c r="A25" t="s">
        <v>10</v>
      </c>
      <c r="B25" s="1">
        <v>44926</v>
      </c>
      <c r="C25">
        <v>11168902003</v>
      </c>
      <c r="D25">
        <v>587168043.39999998</v>
      </c>
      <c r="E25">
        <v>20072750684</v>
      </c>
      <c r="F25">
        <v>67464272122</v>
      </c>
      <c r="G25">
        <v>47391521437</v>
      </c>
      <c r="H25">
        <v>0.87033925499999998</v>
      </c>
      <c r="I25">
        <v>1.238972765</v>
      </c>
      <c r="J25">
        <v>0.42355151499999999</v>
      </c>
    </row>
    <row r="26" spans="1:10" x14ac:dyDescent="0.25">
      <c r="A26" t="s">
        <v>10</v>
      </c>
      <c r="B26" s="1">
        <v>45016</v>
      </c>
      <c r="C26">
        <v>13460197722</v>
      </c>
      <c r="D26">
        <v>1122578628</v>
      </c>
      <c r="E26">
        <v>37590881745</v>
      </c>
      <c r="F26">
        <v>71858135493</v>
      </c>
      <c r="G26">
        <v>34267253748</v>
      </c>
      <c r="H26">
        <v>1.562215079</v>
      </c>
      <c r="I26">
        <v>3.2759515430000001</v>
      </c>
      <c r="J26">
        <v>1.096991373</v>
      </c>
    </row>
    <row r="27" spans="1:10" x14ac:dyDescent="0.25">
      <c r="A27" t="s">
        <v>10</v>
      </c>
      <c r="B27" s="1">
        <v>45107</v>
      </c>
      <c r="C27">
        <v>12729418594</v>
      </c>
      <c r="D27">
        <v>1662688493</v>
      </c>
      <c r="E27">
        <v>39022576433</v>
      </c>
      <c r="F27">
        <v>81451183390</v>
      </c>
      <c r="G27">
        <v>42428606957</v>
      </c>
      <c r="H27">
        <v>2.0413312910000001</v>
      </c>
      <c r="I27">
        <v>3.9187911479999999</v>
      </c>
      <c r="J27">
        <v>0.91972325399999999</v>
      </c>
    </row>
    <row r="28" spans="1:10" x14ac:dyDescent="0.25">
      <c r="A28" t="s">
        <v>10</v>
      </c>
      <c r="B28" s="1">
        <v>45199</v>
      </c>
      <c r="C28">
        <v>11664866018</v>
      </c>
      <c r="D28">
        <v>1677667162</v>
      </c>
      <c r="E28">
        <v>15998323030</v>
      </c>
      <c r="F28">
        <v>33372541902</v>
      </c>
      <c r="G28">
        <v>17374218871</v>
      </c>
      <c r="H28">
        <v>5.0270883380000004</v>
      </c>
      <c r="I28">
        <v>9.6560724499999999</v>
      </c>
      <c r="J28">
        <v>0.92080819000000003</v>
      </c>
    </row>
    <row r="29" spans="1:10" x14ac:dyDescent="0.25">
      <c r="A29" t="s">
        <v>10</v>
      </c>
      <c r="B29" s="1">
        <v>45291</v>
      </c>
      <c r="C29">
        <v>16782030250</v>
      </c>
      <c r="D29">
        <v>1481049554</v>
      </c>
      <c r="E29">
        <v>32384571623</v>
      </c>
      <c r="F29">
        <v>78417189252</v>
      </c>
      <c r="G29">
        <v>46032617629</v>
      </c>
      <c r="H29">
        <v>1.888679725</v>
      </c>
      <c r="I29">
        <v>3.2173915590000002</v>
      </c>
      <c r="J29">
        <v>0.70351357999999997</v>
      </c>
    </row>
    <row r="30" spans="1:10" x14ac:dyDescent="0.25">
      <c r="A30" t="s">
        <v>10</v>
      </c>
      <c r="B30" s="1">
        <v>45382</v>
      </c>
      <c r="C30">
        <v>7309084994</v>
      </c>
      <c r="D30">
        <v>1039334580</v>
      </c>
      <c r="E30">
        <v>30910642675</v>
      </c>
      <c r="F30">
        <v>64531416585</v>
      </c>
      <c r="G30">
        <v>33620773909</v>
      </c>
      <c r="H30">
        <v>1.61058696</v>
      </c>
      <c r="I30">
        <v>3.0913463889999999</v>
      </c>
      <c r="J30">
        <v>0.91939117000000004</v>
      </c>
    </row>
    <row r="31" spans="1:10" x14ac:dyDescent="0.25">
      <c r="A31" t="s">
        <v>10</v>
      </c>
      <c r="B31" s="1">
        <v>45473</v>
      </c>
      <c r="C31">
        <v>13076152982</v>
      </c>
      <c r="D31">
        <v>1526410746</v>
      </c>
      <c r="E31">
        <v>24545656357</v>
      </c>
      <c r="F31">
        <v>68124372355</v>
      </c>
      <c r="G31">
        <v>43578715998</v>
      </c>
      <c r="H31">
        <v>2.2406235730000001</v>
      </c>
      <c r="I31">
        <v>3.5026519509999998</v>
      </c>
      <c r="J31">
        <v>0.56324872800000003</v>
      </c>
    </row>
    <row r="32" spans="1:10" x14ac:dyDescent="0.25">
      <c r="A32" t="s">
        <v>10</v>
      </c>
      <c r="B32" s="1">
        <v>45565</v>
      </c>
      <c r="C32">
        <v>9752432683</v>
      </c>
      <c r="D32">
        <v>970590418.5</v>
      </c>
      <c r="E32">
        <v>31255665329</v>
      </c>
      <c r="F32">
        <v>70790020629</v>
      </c>
      <c r="G32">
        <v>39534355300</v>
      </c>
      <c r="H32">
        <v>1.371083678</v>
      </c>
      <c r="I32">
        <v>2.4550556370000001</v>
      </c>
      <c r="J32">
        <v>0.79059504300000005</v>
      </c>
    </row>
    <row r="33" spans="1:10" x14ac:dyDescent="0.25">
      <c r="A33" t="s">
        <v>10</v>
      </c>
      <c r="B33" s="1">
        <v>45657</v>
      </c>
      <c r="C33">
        <v>14186610709</v>
      </c>
      <c r="D33">
        <v>2107123762</v>
      </c>
      <c r="E33">
        <v>14632441063</v>
      </c>
      <c r="F33">
        <v>32642980976</v>
      </c>
      <c r="G33">
        <v>18010539913</v>
      </c>
      <c r="H33">
        <v>6.4550592470000003</v>
      </c>
      <c r="I33">
        <v>11.699392530000001</v>
      </c>
      <c r="J33">
        <v>0.81243766900000003</v>
      </c>
    </row>
    <row r="34" spans="1:10" x14ac:dyDescent="0.25">
      <c r="A34" t="s">
        <v>11</v>
      </c>
      <c r="B34" s="1">
        <v>42825</v>
      </c>
      <c r="C34">
        <v>19833452617</v>
      </c>
      <c r="D34">
        <v>1519697640</v>
      </c>
      <c r="E34">
        <v>16063730954</v>
      </c>
      <c r="F34">
        <v>53272532961</v>
      </c>
      <c r="G34">
        <v>37208802008</v>
      </c>
      <c r="H34">
        <v>2.8526851560000002</v>
      </c>
      <c r="I34">
        <v>4.084242325</v>
      </c>
      <c r="J34">
        <v>0.43171857400000002</v>
      </c>
    </row>
    <row r="35" spans="1:10" x14ac:dyDescent="0.25">
      <c r="A35" t="s">
        <v>11</v>
      </c>
      <c r="B35" s="1">
        <v>42916</v>
      </c>
      <c r="C35">
        <v>9065572324</v>
      </c>
      <c r="D35">
        <v>736570414.39999998</v>
      </c>
      <c r="E35">
        <v>47957169639</v>
      </c>
      <c r="F35">
        <v>95650487131</v>
      </c>
      <c r="G35">
        <v>47693317491</v>
      </c>
      <c r="H35">
        <v>0.77006446799999995</v>
      </c>
      <c r="I35">
        <v>1.544389137</v>
      </c>
      <c r="J35">
        <v>1.005532267</v>
      </c>
    </row>
    <row r="36" spans="1:10" x14ac:dyDescent="0.25">
      <c r="A36" t="s">
        <v>11</v>
      </c>
      <c r="B36" s="1">
        <v>43008</v>
      </c>
      <c r="C36">
        <v>5703877749</v>
      </c>
      <c r="D36">
        <v>588622371.39999998</v>
      </c>
      <c r="E36">
        <v>24982736979</v>
      </c>
      <c r="F36">
        <v>39727077870</v>
      </c>
      <c r="G36">
        <v>14744340891</v>
      </c>
      <c r="H36">
        <v>1.481665411</v>
      </c>
      <c r="I36">
        <v>3.9921918230000002</v>
      </c>
      <c r="J36">
        <v>1.6943949659999999</v>
      </c>
    </row>
    <row r="37" spans="1:10" x14ac:dyDescent="0.25">
      <c r="A37" t="s">
        <v>11</v>
      </c>
      <c r="B37" s="1">
        <v>43100</v>
      </c>
      <c r="C37">
        <v>19716237464</v>
      </c>
      <c r="D37">
        <v>1276840007</v>
      </c>
      <c r="E37">
        <v>45009303223</v>
      </c>
      <c r="F37">
        <v>75268101508</v>
      </c>
      <c r="G37">
        <v>30258798286</v>
      </c>
      <c r="H37">
        <v>1.6963892819999999</v>
      </c>
      <c r="I37">
        <v>4.219731382</v>
      </c>
      <c r="J37">
        <v>1.487478214</v>
      </c>
    </row>
    <row r="38" spans="1:10" x14ac:dyDescent="0.25">
      <c r="A38" t="s">
        <v>11</v>
      </c>
      <c r="B38" s="1">
        <v>43190</v>
      </c>
      <c r="C38">
        <v>10138254767</v>
      </c>
      <c r="D38">
        <v>1262116952</v>
      </c>
      <c r="E38">
        <v>45296373926</v>
      </c>
      <c r="F38">
        <v>72972094010</v>
      </c>
      <c r="G38">
        <v>27675720085</v>
      </c>
      <c r="H38">
        <v>1.729588508</v>
      </c>
      <c r="I38">
        <v>4.5603762000000003</v>
      </c>
      <c r="J38">
        <v>1.63668276</v>
      </c>
    </row>
    <row r="39" spans="1:10" x14ac:dyDescent="0.25">
      <c r="A39" t="s">
        <v>11</v>
      </c>
      <c r="B39" s="1">
        <v>43281</v>
      </c>
      <c r="C39">
        <v>11314535587</v>
      </c>
      <c r="D39">
        <v>1340341283</v>
      </c>
      <c r="E39">
        <v>33163887180</v>
      </c>
      <c r="F39">
        <v>56794362553</v>
      </c>
      <c r="G39">
        <v>23630475373</v>
      </c>
      <c r="H39">
        <v>2.3599900109999998</v>
      </c>
      <c r="I39">
        <v>5.672087683</v>
      </c>
      <c r="J39">
        <v>1.4034371569999999</v>
      </c>
    </row>
    <row r="40" spans="1:10" x14ac:dyDescent="0.25">
      <c r="A40" t="s">
        <v>11</v>
      </c>
      <c r="B40" s="1">
        <v>43373</v>
      </c>
      <c r="C40">
        <v>12634974138</v>
      </c>
      <c r="D40">
        <v>741274735</v>
      </c>
      <c r="E40">
        <v>28126694879</v>
      </c>
      <c r="F40">
        <v>40432233302</v>
      </c>
      <c r="G40">
        <v>12305538423</v>
      </c>
      <c r="H40">
        <v>1.833375687</v>
      </c>
      <c r="I40">
        <v>6.0239114249999997</v>
      </c>
      <c r="J40">
        <v>2.2856939619999999</v>
      </c>
    </row>
    <row r="41" spans="1:10" x14ac:dyDescent="0.25">
      <c r="A41" t="s">
        <v>11</v>
      </c>
      <c r="B41" s="1">
        <v>43465</v>
      </c>
      <c r="C41">
        <v>9738110535</v>
      </c>
      <c r="D41">
        <v>1128540207</v>
      </c>
      <c r="E41">
        <v>47796930083</v>
      </c>
      <c r="F41">
        <v>86681431720</v>
      </c>
      <c r="G41">
        <v>38884501637</v>
      </c>
      <c r="H41">
        <v>1.3019399709999999</v>
      </c>
      <c r="I41">
        <v>2.9022879540000002</v>
      </c>
      <c r="J41">
        <v>1.229202589</v>
      </c>
    </row>
    <row r="42" spans="1:10" x14ac:dyDescent="0.25">
      <c r="A42" t="s">
        <v>11</v>
      </c>
      <c r="B42" s="1">
        <v>43555</v>
      </c>
      <c r="C42">
        <v>11643264079</v>
      </c>
      <c r="D42">
        <v>1453293868</v>
      </c>
      <c r="E42">
        <v>35825693285</v>
      </c>
      <c r="F42">
        <v>75665486452</v>
      </c>
      <c r="G42">
        <v>39839793167</v>
      </c>
      <c r="H42">
        <v>1.920682647</v>
      </c>
      <c r="I42">
        <v>3.6478449120000001</v>
      </c>
      <c r="J42">
        <v>0.89924395800000001</v>
      </c>
    </row>
    <row r="43" spans="1:10" x14ac:dyDescent="0.25">
      <c r="A43" t="s">
        <v>11</v>
      </c>
      <c r="B43" s="1">
        <v>43646</v>
      </c>
      <c r="C43">
        <v>6550073893</v>
      </c>
      <c r="D43">
        <v>733627118.39999998</v>
      </c>
      <c r="E43">
        <v>19919552350</v>
      </c>
      <c r="F43">
        <v>37424903073</v>
      </c>
      <c r="G43">
        <v>17505350723</v>
      </c>
      <c r="H43">
        <v>1.9602645780000001</v>
      </c>
      <c r="I43">
        <v>4.1908735789999998</v>
      </c>
      <c r="J43">
        <v>1.137912211</v>
      </c>
    </row>
    <row r="44" spans="1:10" x14ac:dyDescent="0.25">
      <c r="A44" t="s">
        <v>11</v>
      </c>
      <c r="B44" s="1">
        <v>43738</v>
      </c>
      <c r="C44">
        <v>16654538457</v>
      </c>
      <c r="D44">
        <v>1322270205</v>
      </c>
      <c r="E44">
        <v>29781715108</v>
      </c>
      <c r="F44">
        <v>63506323345</v>
      </c>
      <c r="G44">
        <v>33724608237</v>
      </c>
      <c r="H44">
        <v>2.0821079469999999</v>
      </c>
      <c r="I44">
        <v>3.9207874440000001</v>
      </c>
      <c r="J44">
        <v>0.88308557700000001</v>
      </c>
    </row>
    <row r="45" spans="1:10" x14ac:dyDescent="0.25">
      <c r="A45" t="s">
        <v>11</v>
      </c>
      <c r="B45" s="1">
        <v>43830</v>
      </c>
      <c r="C45">
        <v>12841952642</v>
      </c>
      <c r="D45">
        <v>1411970100</v>
      </c>
      <c r="E45">
        <v>29126693633</v>
      </c>
      <c r="F45">
        <v>55130546327</v>
      </c>
      <c r="G45">
        <v>26003852694</v>
      </c>
      <c r="H45">
        <v>2.5611393219999998</v>
      </c>
      <c r="I45">
        <v>5.429849634</v>
      </c>
      <c r="J45">
        <v>1.1200914719999999</v>
      </c>
    </row>
    <row r="46" spans="1:10" x14ac:dyDescent="0.25">
      <c r="A46" t="s">
        <v>11</v>
      </c>
      <c r="B46" s="1">
        <v>43921</v>
      </c>
      <c r="C46">
        <v>15947068708</v>
      </c>
      <c r="D46">
        <v>835207323</v>
      </c>
      <c r="E46">
        <v>19623471264</v>
      </c>
      <c r="F46">
        <v>54178518349</v>
      </c>
      <c r="G46">
        <v>34555047086</v>
      </c>
      <c r="H46">
        <v>1.541583913</v>
      </c>
      <c r="I46">
        <v>2.4170342499999999</v>
      </c>
      <c r="J46">
        <v>0.567890161</v>
      </c>
    </row>
    <row r="47" spans="1:10" x14ac:dyDescent="0.25">
      <c r="A47" t="s">
        <v>11</v>
      </c>
      <c r="B47" s="1">
        <v>44012</v>
      </c>
      <c r="C47">
        <v>7571178877</v>
      </c>
      <c r="D47">
        <v>527700192</v>
      </c>
      <c r="E47">
        <v>14328955584</v>
      </c>
      <c r="F47">
        <v>29444881442</v>
      </c>
      <c r="G47">
        <v>15115925857</v>
      </c>
      <c r="H47">
        <v>1.7921627330000001</v>
      </c>
      <c r="I47">
        <v>3.4910213040000002</v>
      </c>
      <c r="J47">
        <v>0.94793767299999998</v>
      </c>
    </row>
    <row r="48" spans="1:10" x14ac:dyDescent="0.25">
      <c r="A48" t="s">
        <v>11</v>
      </c>
      <c r="B48" s="1">
        <v>44104</v>
      </c>
      <c r="C48">
        <v>11686522494</v>
      </c>
      <c r="D48">
        <v>980715243.5</v>
      </c>
      <c r="E48">
        <v>33647832225</v>
      </c>
      <c r="F48">
        <v>72644583109</v>
      </c>
      <c r="G48">
        <v>38996750884</v>
      </c>
      <c r="H48">
        <v>1.3500184070000001</v>
      </c>
      <c r="I48">
        <v>2.5148639849999999</v>
      </c>
      <c r="J48">
        <v>0.86283681199999995</v>
      </c>
    </row>
    <row r="49" spans="1:10" x14ac:dyDescent="0.25">
      <c r="A49" t="s">
        <v>11</v>
      </c>
      <c r="B49" s="1">
        <v>44196</v>
      </c>
      <c r="C49">
        <v>17731550761</v>
      </c>
      <c r="D49">
        <v>1893885668</v>
      </c>
      <c r="E49">
        <v>10137976567</v>
      </c>
      <c r="F49">
        <v>39067986912</v>
      </c>
      <c r="G49">
        <v>28930010345</v>
      </c>
      <c r="H49">
        <v>4.8476663819999999</v>
      </c>
      <c r="I49">
        <v>6.5464396479999998</v>
      </c>
      <c r="J49">
        <v>0.35043114199999997</v>
      </c>
    </row>
    <row r="50" spans="1:10" x14ac:dyDescent="0.25">
      <c r="A50" t="s">
        <v>11</v>
      </c>
      <c r="B50" s="1">
        <v>44286</v>
      </c>
      <c r="C50">
        <v>18942636889</v>
      </c>
      <c r="D50">
        <v>1771268697</v>
      </c>
      <c r="E50">
        <v>15918566390</v>
      </c>
      <c r="F50">
        <v>49830943520</v>
      </c>
      <c r="G50">
        <v>33912377129</v>
      </c>
      <c r="H50">
        <v>3.5545558079999999</v>
      </c>
      <c r="I50">
        <v>5.2230744260000002</v>
      </c>
      <c r="J50">
        <v>0.46940284799999998</v>
      </c>
    </row>
    <row r="51" spans="1:10" x14ac:dyDescent="0.25">
      <c r="A51" t="s">
        <v>11</v>
      </c>
      <c r="B51" s="1">
        <v>44377</v>
      </c>
      <c r="C51">
        <v>6387462404</v>
      </c>
      <c r="D51">
        <v>911547751.10000002</v>
      </c>
      <c r="E51">
        <v>43580496165</v>
      </c>
      <c r="F51">
        <v>59758020643</v>
      </c>
      <c r="G51">
        <v>16177524478</v>
      </c>
      <c r="H51">
        <v>1.525398166</v>
      </c>
      <c r="I51">
        <v>5.6346553659999996</v>
      </c>
      <c r="J51">
        <v>2.6938915300000001</v>
      </c>
    </row>
    <row r="52" spans="1:10" x14ac:dyDescent="0.25">
      <c r="A52" t="s">
        <v>11</v>
      </c>
      <c r="B52" s="1">
        <v>44469</v>
      </c>
      <c r="C52">
        <v>19026792698</v>
      </c>
      <c r="D52">
        <v>2073416725</v>
      </c>
      <c r="E52">
        <v>23713313938</v>
      </c>
      <c r="F52">
        <v>47556455590</v>
      </c>
      <c r="G52">
        <v>23843141652</v>
      </c>
      <c r="H52">
        <v>4.3599059249999996</v>
      </c>
      <c r="I52">
        <v>8.6960718319999994</v>
      </c>
      <c r="J52">
        <v>0.99455492400000001</v>
      </c>
    </row>
    <row r="53" spans="1:10" x14ac:dyDescent="0.25">
      <c r="A53" t="s">
        <v>11</v>
      </c>
      <c r="B53" s="1">
        <v>44561</v>
      </c>
      <c r="C53">
        <v>15389996263</v>
      </c>
      <c r="D53">
        <v>923394181.60000002</v>
      </c>
      <c r="E53">
        <v>21808491986</v>
      </c>
      <c r="F53">
        <v>40095375980</v>
      </c>
      <c r="G53">
        <v>18286883994</v>
      </c>
      <c r="H53">
        <v>2.3029941960000002</v>
      </c>
      <c r="I53">
        <v>5.0494889230000002</v>
      </c>
      <c r="J53">
        <v>1.192575618</v>
      </c>
    </row>
    <row r="54" spans="1:10" x14ac:dyDescent="0.25">
      <c r="A54" t="s">
        <v>11</v>
      </c>
      <c r="B54" s="1">
        <v>44651</v>
      </c>
      <c r="C54">
        <v>7786480387</v>
      </c>
      <c r="D54">
        <v>484400549.69999999</v>
      </c>
      <c r="E54">
        <v>33021752886</v>
      </c>
      <c r="F54">
        <v>60040484961</v>
      </c>
      <c r="G54">
        <v>27018732075</v>
      </c>
      <c r="H54">
        <v>0.80678986900000005</v>
      </c>
      <c r="I54">
        <v>1.7928322779999999</v>
      </c>
      <c r="J54">
        <v>1.2221799600000001</v>
      </c>
    </row>
    <row r="55" spans="1:10" x14ac:dyDescent="0.25">
      <c r="A55" t="s">
        <v>11</v>
      </c>
      <c r="B55" s="1">
        <v>44742</v>
      </c>
      <c r="C55">
        <v>17737880122</v>
      </c>
      <c r="D55">
        <v>2592267899</v>
      </c>
      <c r="E55">
        <v>23358323946</v>
      </c>
      <c r="F55">
        <v>38107807520</v>
      </c>
      <c r="G55">
        <v>14749483574</v>
      </c>
      <c r="H55">
        <v>6.8024587810000003</v>
      </c>
      <c r="I55">
        <v>17.575312969999999</v>
      </c>
      <c r="J55">
        <v>1.5836706300000001</v>
      </c>
    </row>
    <row r="56" spans="1:10" x14ac:dyDescent="0.25">
      <c r="A56" t="s">
        <v>11</v>
      </c>
      <c r="B56" s="1">
        <v>44834</v>
      </c>
      <c r="C56">
        <v>12664949131</v>
      </c>
      <c r="D56">
        <v>649372783.10000002</v>
      </c>
      <c r="E56">
        <v>35555990358</v>
      </c>
      <c r="F56">
        <v>69522102895</v>
      </c>
      <c r="G56">
        <v>33966112537</v>
      </c>
      <c r="H56">
        <v>0.93405227400000002</v>
      </c>
      <c r="I56">
        <v>1.9118254480000001</v>
      </c>
      <c r="J56">
        <v>1.0468077650000001</v>
      </c>
    </row>
    <row r="57" spans="1:10" x14ac:dyDescent="0.25">
      <c r="A57" t="s">
        <v>11</v>
      </c>
      <c r="B57" s="1">
        <v>44926</v>
      </c>
      <c r="C57">
        <v>16861000234</v>
      </c>
      <c r="D57">
        <v>918419211.5</v>
      </c>
      <c r="E57">
        <v>32873432607</v>
      </c>
      <c r="F57">
        <v>81487723152</v>
      </c>
      <c r="G57">
        <v>48614290545</v>
      </c>
      <c r="H57">
        <v>1.127064515</v>
      </c>
      <c r="I57">
        <v>1.8891959570000001</v>
      </c>
      <c r="J57">
        <v>0.67620924299999996</v>
      </c>
    </row>
    <row r="58" spans="1:10" x14ac:dyDescent="0.25">
      <c r="A58" t="s">
        <v>11</v>
      </c>
      <c r="B58" s="1">
        <v>45016</v>
      </c>
      <c r="C58">
        <v>13888922534</v>
      </c>
      <c r="D58">
        <v>1095226689</v>
      </c>
      <c r="E58">
        <v>47947497289</v>
      </c>
      <c r="F58">
        <v>70943083888</v>
      </c>
      <c r="G58">
        <v>22995586599</v>
      </c>
      <c r="H58">
        <v>1.543810374</v>
      </c>
      <c r="I58">
        <v>4.7627690810000001</v>
      </c>
      <c r="J58">
        <v>2.0850738940000002</v>
      </c>
    </row>
    <row r="59" spans="1:10" x14ac:dyDescent="0.25">
      <c r="A59" t="s">
        <v>11</v>
      </c>
      <c r="B59" s="1">
        <v>45107</v>
      </c>
      <c r="C59">
        <v>14327627383</v>
      </c>
      <c r="D59">
        <v>1625286889</v>
      </c>
      <c r="E59">
        <v>41679203694</v>
      </c>
      <c r="F59">
        <v>52235242339</v>
      </c>
      <c r="G59">
        <v>10556038645</v>
      </c>
      <c r="H59">
        <v>3.1114757320000002</v>
      </c>
      <c r="I59">
        <v>15.396750089999999</v>
      </c>
      <c r="J59">
        <v>3.9483754370000002</v>
      </c>
    </row>
    <row r="60" spans="1:10" x14ac:dyDescent="0.25">
      <c r="A60" t="s">
        <v>11</v>
      </c>
      <c r="B60" s="1">
        <v>45199</v>
      </c>
      <c r="C60">
        <v>10185412162</v>
      </c>
      <c r="D60">
        <v>754846740.29999995</v>
      </c>
      <c r="E60">
        <v>24373958388</v>
      </c>
      <c r="F60">
        <v>59331553465</v>
      </c>
      <c r="G60">
        <v>34957595076</v>
      </c>
      <c r="H60">
        <v>1.2722517719999999</v>
      </c>
      <c r="I60">
        <v>2.1593211389999998</v>
      </c>
      <c r="J60">
        <v>0.69724357000000003</v>
      </c>
    </row>
    <row r="61" spans="1:10" x14ac:dyDescent="0.25">
      <c r="A61" t="s">
        <v>11</v>
      </c>
      <c r="B61" s="1">
        <v>45291</v>
      </c>
      <c r="C61">
        <v>8282175431</v>
      </c>
      <c r="D61">
        <v>459390813.5</v>
      </c>
      <c r="E61">
        <v>28551545477</v>
      </c>
      <c r="F61">
        <v>64407150986</v>
      </c>
      <c r="G61">
        <v>35855605509</v>
      </c>
      <c r="H61">
        <v>0.71326057200000004</v>
      </c>
      <c r="I61">
        <v>1.2812245310000001</v>
      </c>
      <c r="J61">
        <v>0.79629238099999999</v>
      </c>
    </row>
    <row r="62" spans="1:10" x14ac:dyDescent="0.25">
      <c r="A62" t="s">
        <v>11</v>
      </c>
      <c r="B62" s="1">
        <v>45382</v>
      </c>
      <c r="C62">
        <v>15785741204</v>
      </c>
      <c r="D62">
        <v>1106822544</v>
      </c>
      <c r="E62">
        <v>13225063565</v>
      </c>
      <c r="F62">
        <v>51661794785</v>
      </c>
      <c r="G62">
        <v>38436731220</v>
      </c>
      <c r="H62">
        <v>2.1424392019999998</v>
      </c>
      <c r="I62">
        <v>2.8795959199999999</v>
      </c>
      <c r="J62">
        <v>0.34407357599999999</v>
      </c>
    </row>
    <row r="63" spans="1:10" x14ac:dyDescent="0.25">
      <c r="A63" t="s">
        <v>11</v>
      </c>
      <c r="B63" s="1">
        <v>45473</v>
      </c>
      <c r="C63">
        <v>9018099865</v>
      </c>
      <c r="D63">
        <v>963180373.70000005</v>
      </c>
      <c r="E63">
        <v>36993263217</v>
      </c>
      <c r="F63">
        <v>49531602468</v>
      </c>
      <c r="G63">
        <v>12538339252</v>
      </c>
      <c r="H63">
        <v>1.944577453</v>
      </c>
      <c r="I63">
        <v>7.6818815819999999</v>
      </c>
      <c r="J63">
        <v>2.950411731</v>
      </c>
    </row>
    <row r="64" spans="1:10" x14ac:dyDescent="0.25">
      <c r="A64" t="s">
        <v>11</v>
      </c>
      <c r="B64" s="1">
        <v>45565</v>
      </c>
      <c r="C64">
        <v>11691964631</v>
      </c>
      <c r="D64">
        <v>1345578064</v>
      </c>
      <c r="E64">
        <v>24477801438</v>
      </c>
      <c r="F64">
        <v>72482874961</v>
      </c>
      <c r="G64">
        <v>48005073523</v>
      </c>
      <c r="H64">
        <v>1.856408241</v>
      </c>
      <c r="I64">
        <v>2.8029913629999998</v>
      </c>
      <c r="J64">
        <v>0.50990030099999994</v>
      </c>
    </row>
    <row r="65" spans="1:10" x14ac:dyDescent="0.25">
      <c r="A65" t="s">
        <v>11</v>
      </c>
      <c r="B65" s="1">
        <v>45657</v>
      </c>
      <c r="C65">
        <v>8451674463</v>
      </c>
      <c r="D65">
        <v>530013312.60000002</v>
      </c>
      <c r="E65">
        <v>43381572844</v>
      </c>
      <c r="F65">
        <v>83248031989</v>
      </c>
      <c r="G65">
        <v>39866459145</v>
      </c>
      <c r="H65">
        <v>0.63666767800000001</v>
      </c>
      <c r="I65">
        <v>1.329471751</v>
      </c>
      <c r="J65">
        <v>1.0881722069999999</v>
      </c>
    </row>
    <row r="66" spans="1:10" x14ac:dyDescent="0.25">
      <c r="A66" t="s">
        <v>12</v>
      </c>
      <c r="B66" s="1">
        <v>42825</v>
      </c>
      <c r="C66">
        <v>9164246774</v>
      </c>
      <c r="D66">
        <v>981041952.60000002</v>
      </c>
      <c r="E66">
        <v>19407851173</v>
      </c>
      <c r="F66">
        <v>43999960378</v>
      </c>
      <c r="G66">
        <v>24592109205</v>
      </c>
      <c r="H66">
        <v>2.229642809</v>
      </c>
      <c r="I66">
        <v>3.989255027</v>
      </c>
      <c r="J66">
        <v>0.78919018299999999</v>
      </c>
    </row>
    <row r="67" spans="1:10" x14ac:dyDescent="0.25">
      <c r="A67" t="s">
        <v>12</v>
      </c>
      <c r="B67" s="1">
        <v>42916</v>
      </c>
      <c r="C67">
        <v>14340884258</v>
      </c>
      <c r="D67">
        <v>1865680236</v>
      </c>
      <c r="E67">
        <v>22448503705</v>
      </c>
      <c r="F67">
        <v>35401436947</v>
      </c>
      <c r="G67">
        <v>12952933241</v>
      </c>
      <c r="H67">
        <v>5.2700692330000001</v>
      </c>
      <c r="I67">
        <v>14.40353472</v>
      </c>
      <c r="J67">
        <v>1.7330826370000001</v>
      </c>
    </row>
    <row r="68" spans="1:10" x14ac:dyDescent="0.25">
      <c r="A68" t="s">
        <v>12</v>
      </c>
      <c r="B68" s="1">
        <v>43008</v>
      </c>
      <c r="C68">
        <v>7168009253</v>
      </c>
      <c r="D68">
        <v>373428560.19999999</v>
      </c>
      <c r="E68">
        <v>15187122059</v>
      </c>
      <c r="F68">
        <v>38651159578</v>
      </c>
      <c r="G68">
        <v>23464037519</v>
      </c>
      <c r="H68">
        <v>0.96615098799999999</v>
      </c>
      <c r="I68">
        <v>1.5914931940000001</v>
      </c>
      <c r="J68">
        <v>0.64725101299999999</v>
      </c>
    </row>
    <row r="69" spans="1:10" x14ac:dyDescent="0.25">
      <c r="A69" t="s">
        <v>12</v>
      </c>
      <c r="B69" s="1">
        <v>43100</v>
      </c>
      <c r="C69">
        <v>19458831198</v>
      </c>
      <c r="D69">
        <v>1600107100</v>
      </c>
      <c r="E69">
        <v>48538978480</v>
      </c>
      <c r="F69">
        <v>69583711255</v>
      </c>
      <c r="G69">
        <v>21044732775</v>
      </c>
      <c r="H69">
        <v>2.2995426239999999</v>
      </c>
      <c r="I69">
        <v>7.6033614519999997</v>
      </c>
      <c r="J69">
        <v>2.3064668479999999</v>
      </c>
    </row>
    <row r="70" spans="1:10" x14ac:dyDescent="0.25">
      <c r="A70" t="s">
        <v>12</v>
      </c>
      <c r="B70" s="1">
        <v>43190</v>
      </c>
      <c r="C70">
        <v>17610247426</v>
      </c>
      <c r="D70">
        <v>2015329868</v>
      </c>
      <c r="E70">
        <v>40259793264</v>
      </c>
      <c r="F70">
        <v>68504291957</v>
      </c>
      <c r="G70">
        <v>28244498693</v>
      </c>
      <c r="H70">
        <v>2.94190307</v>
      </c>
      <c r="I70">
        <v>7.1353005410000003</v>
      </c>
      <c r="J70">
        <v>1.425403003</v>
      </c>
    </row>
    <row r="71" spans="1:10" x14ac:dyDescent="0.25">
      <c r="A71" t="s">
        <v>12</v>
      </c>
      <c r="B71" s="1">
        <v>43281</v>
      </c>
      <c r="C71">
        <v>11661846976</v>
      </c>
      <c r="D71">
        <v>1354192659</v>
      </c>
      <c r="E71">
        <v>23626577882</v>
      </c>
      <c r="F71">
        <v>54731462963</v>
      </c>
      <c r="G71">
        <v>31104885082</v>
      </c>
      <c r="H71">
        <v>2.4742489700000001</v>
      </c>
      <c r="I71">
        <v>4.3536333760000003</v>
      </c>
      <c r="J71">
        <v>0.75957772599999995</v>
      </c>
    </row>
    <row r="72" spans="1:10" x14ac:dyDescent="0.25">
      <c r="A72" t="s">
        <v>12</v>
      </c>
      <c r="B72" s="1">
        <v>43373</v>
      </c>
      <c r="C72">
        <v>10545031789</v>
      </c>
      <c r="D72">
        <v>1010594241</v>
      </c>
      <c r="E72">
        <v>33534009371</v>
      </c>
      <c r="F72">
        <v>63852779536</v>
      </c>
      <c r="G72">
        <v>30318770165</v>
      </c>
      <c r="H72">
        <v>1.582694204</v>
      </c>
      <c r="I72">
        <v>3.3332296640000001</v>
      </c>
      <c r="J72">
        <v>1.106047811</v>
      </c>
    </row>
    <row r="73" spans="1:10" x14ac:dyDescent="0.25">
      <c r="A73" t="s">
        <v>12</v>
      </c>
      <c r="B73" s="1">
        <v>43465</v>
      </c>
      <c r="C73">
        <v>11358222175</v>
      </c>
      <c r="D73">
        <v>1091045445</v>
      </c>
      <c r="E73">
        <v>25112465464</v>
      </c>
      <c r="F73">
        <v>47584136480</v>
      </c>
      <c r="G73">
        <v>22471671016</v>
      </c>
      <c r="H73">
        <v>2.2928764199999998</v>
      </c>
      <c r="I73">
        <v>4.8552038880000001</v>
      </c>
      <c r="J73">
        <v>1.1175166030000001</v>
      </c>
    </row>
    <row r="74" spans="1:10" x14ac:dyDescent="0.25">
      <c r="A74" t="s">
        <v>12</v>
      </c>
      <c r="B74" s="1">
        <v>43555</v>
      </c>
      <c r="C74">
        <v>11744716344</v>
      </c>
      <c r="D74">
        <v>1284599881</v>
      </c>
      <c r="E74">
        <v>31388781794</v>
      </c>
      <c r="F74">
        <v>60735397643</v>
      </c>
      <c r="G74">
        <v>29346615849</v>
      </c>
      <c r="H74">
        <v>2.1150761029999998</v>
      </c>
      <c r="I74">
        <v>4.3773356630000002</v>
      </c>
      <c r="J74">
        <v>1.069587783</v>
      </c>
    </row>
    <row r="75" spans="1:10" x14ac:dyDescent="0.25">
      <c r="A75" t="s">
        <v>12</v>
      </c>
      <c r="B75" s="1">
        <v>43646</v>
      </c>
      <c r="C75">
        <v>9612688482</v>
      </c>
      <c r="D75">
        <v>1071424359</v>
      </c>
      <c r="E75">
        <v>26052899280</v>
      </c>
      <c r="F75">
        <v>55802879567</v>
      </c>
      <c r="G75">
        <v>29749980287</v>
      </c>
      <c r="H75">
        <v>1.9200162569999999</v>
      </c>
      <c r="I75">
        <v>3.6014288049999998</v>
      </c>
      <c r="J75">
        <v>0.87572828700000005</v>
      </c>
    </row>
    <row r="76" spans="1:10" x14ac:dyDescent="0.25">
      <c r="A76" t="s">
        <v>12</v>
      </c>
      <c r="B76" s="1">
        <v>43738</v>
      </c>
      <c r="C76">
        <v>13700664809</v>
      </c>
      <c r="D76">
        <v>892851810.70000005</v>
      </c>
      <c r="E76">
        <v>14820437742</v>
      </c>
      <c r="F76">
        <v>51140549989</v>
      </c>
      <c r="G76">
        <v>36320112247</v>
      </c>
      <c r="H76">
        <v>1.7458783899999999</v>
      </c>
      <c r="I76">
        <v>2.458284833</v>
      </c>
      <c r="J76">
        <v>0.40805043899999999</v>
      </c>
    </row>
    <row r="77" spans="1:10" x14ac:dyDescent="0.25">
      <c r="A77" t="s">
        <v>12</v>
      </c>
      <c r="B77" s="1">
        <v>43830</v>
      </c>
      <c r="C77">
        <v>15508664175</v>
      </c>
      <c r="D77">
        <v>1417702229</v>
      </c>
      <c r="E77">
        <v>18132341778</v>
      </c>
      <c r="F77">
        <v>46620472331</v>
      </c>
      <c r="G77">
        <v>28488130553</v>
      </c>
      <c r="H77">
        <v>3.0409435139999998</v>
      </c>
      <c r="I77">
        <v>4.9764663450000004</v>
      </c>
      <c r="J77">
        <v>0.63648759799999999</v>
      </c>
    </row>
    <row r="78" spans="1:10" x14ac:dyDescent="0.25">
      <c r="A78" t="s">
        <v>12</v>
      </c>
      <c r="B78" s="1">
        <v>43921</v>
      </c>
      <c r="C78">
        <v>9263668849</v>
      </c>
      <c r="D78">
        <v>635671166.79999995</v>
      </c>
      <c r="E78">
        <v>12187372783</v>
      </c>
      <c r="F78">
        <v>46576570031</v>
      </c>
      <c r="G78">
        <v>34389197248</v>
      </c>
      <c r="H78">
        <v>1.364787416</v>
      </c>
      <c r="I78">
        <v>1.8484617780000001</v>
      </c>
      <c r="J78">
        <v>0.35439538500000001</v>
      </c>
    </row>
    <row r="79" spans="1:10" x14ac:dyDescent="0.25">
      <c r="A79" t="s">
        <v>12</v>
      </c>
      <c r="B79" s="1">
        <v>44012</v>
      </c>
      <c r="C79">
        <v>13787621203</v>
      </c>
      <c r="D79">
        <v>1605393739</v>
      </c>
      <c r="E79">
        <v>33743352626</v>
      </c>
      <c r="F79">
        <v>56826390011</v>
      </c>
      <c r="G79">
        <v>23083037385</v>
      </c>
      <c r="H79">
        <v>2.8250848579999999</v>
      </c>
      <c r="I79">
        <v>6.9548634900000001</v>
      </c>
      <c r="J79">
        <v>1.4618246319999999</v>
      </c>
    </row>
    <row r="80" spans="1:10" x14ac:dyDescent="0.25">
      <c r="A80" t="s">
        <v>12</v>
      </c>
      <c r="B80" s="1">
        <v>44104</v>
      </c>
      <c r="C80">
        <v>18005946710</v>
      </c>
      <c r="D80">
        <v>2292027552</v>
      </c>
      <c r="E80">
        <v>30114206666</v>
      </c>
      <c r="F80">
        <v>72398006770</v>
      </c>
      <c r="G80">
        <v>42283800104</v>
      </c>
      <c r="H80">
        <v>3.1658710700000001</v>
      </c>
      <c r="I80">
        <v>5.4205808040000001</v>
      </c>
      <c r="J80">
        <v>0.71219253199999999</v>
      </c>
    </row>
    <row r="81" spans="1:10" x14ac:dyDescent="0.25">
      <c r="A81" t="s">
        <v>12</v>
      </c>
      <c r="B81" s="1">
        <v>44196</v>
      </c>
      <c r="C81">
        <v>10098889889</v>
      </c>
      <c r="D81">
        <v>1161225924</v>
      </c>
      <c r="E81">
        <v>39497490703</v>
      </c>
      <c r="F81">
        <v>77791788915</v>
      </c>
      <c r="G81">
        <v>38294298213</v>
      </c>
      <c r="H81">
        <v>1.4927358529999999</v>
      </c>
      <c r="I81">
        <v>3.0323729080000001</v>
      </c>
      <c r="J81">
        <v>1.0314196250000001</v>
      </c>
    </row>
    <row r="82" spans="1:10" x14ac:dyDescent="0.25">
      <c r="A82" t="s">
        <v>12</v>
      </c>
      <c r="B82" s="1">
        <v>44286</v>
      </c>
      <c r="C82">
        <v>8226780982</v>
      </c>
      <c r="D82">
        <v>522858114.5</v>
      </c>
      <c r="E82">
        <v>39148815906</v>
      </c>
      <c r="F82">
        <v>54906293986</v>
      </c>
      <c r="G82">
        <v>15757478080</v>
      </c>
      <c r="H82">
        <v>0.95227354900000005</v>
      </c>
      <c r="I82">
        <v>3.3181586030000001</v>
      </c>
      <c r="J82">
        <v>2.4844594870000001</v>
      </c>
    </row>
    <row r="83" spans="1:10" x14ac:dyDescent="0.25">
      <c r="A83" t="s">
        <v>12</v>
      </c>
      <c r="B83" s="1">
        <v>44377</v>
      </c>
      <c r="C83">
        <v>17019949886</v>
      </c>
      <c r="D83">
        <v>2402780363</v>
      </c>
      <c r="E83">
        <v>10477167725</v>
      </c>
      <c r="F83">
        <v>40916062724</v>
      </c>
      <c r="G83">
        <v>30438894999</v>
      </c>
      <c r="H83">
        <v>5.8724623129999998</v>
      </c>
      <c r="I83">
        <v>7.8937831459999996</v>
      </c>
      <c r="J83">
        <v>0.34420328700000002</v>
      </c>
    </row>
    <row r="84" spans="1:10" x14ac:dyDescent="0.25">
      <c r="A84" t="s">
        <v>12</v>
      </c>
      <c r="B84" s="1">
        <v>44469</v>
      </c>
      <c r="C84">
        <v>11073630310</v>
      </c>
      <c r="D84">
        <v>912822455.70000005</v>
      </c>
      <c r="E84">
        <v>49692687138</v>
      </c>
      <c r="F84">
        <v>70778247625</v>
      </c>
      <c r="G84">
        <v>21085560486</v>
      </c>
      <c r="H84">
        <v>1.2896934950000001</v>
      </c>
      <c r="I84">
        <v>4.3291353639999999</v>
      </c>
      <c r="J84">
        <v>2.3567164439999999</v>
      </c>
    </row>
    <row r="85" spans="1:10" x14ac:dyDescent="0.25">
      <c r="A85" t="s">
        <v>12</v>
      </c>
      <c r="B85" s="1">
        <v>44561</v>
      </c>
      <c r="C85">
        <v>9380555380</v>
      </c>
      <c r="D85">
        <v>1350100953</v>
      </c>
      <c r="E85">
        <v>41223028779</v>
      </c>
      <c r="F85">
        <v>68933524997</v>
      </c>
      <c r="G85">
        <v>27710496218</v>
      </c>
      <c r="H85">
        <v>1.95855493</v>
      </c>
      <c r="I85">
        <v>4.8721644749999999</v>
      </c>
      <c r="J85">
        <v>1.487632284</v>
      </c>
    </row>
    <row r="86" spans="1:10" x14ac:dyDescent="0.25">
      <c r="A86" t="s">
        <v>12</v>
      </c>
      <c r="B86" s="1">
        <v>44651</v>
      </c>
      <c r="C86">
        <v>16640634818</v>
      </c>
      <c r="D86">
        <v>2400803163</v>
      </c>
      <c r="E86">
        <v>16356578486</v>
      </c>
      <c r="F86">
        <v>32583061956</v>
      </c>
      <c r="G86">
        <v>16226483469</v>
      </c>
      <c r="H86">
        <v>7.3682552179999998</v>
      </c>
      <c r="I86">
        <v>14.79558505</v>
      </c>
      <c r="J86">
        <v>1.0080174500000001</v>
      </c>
    </row>
    <row r="87" spans="1:10" x14ac:dyDescent="0.25">
      <c r="A87" t="s">
        <v>12</v>
      </c>
      <c r="B87" s="1">
        <v>44742</v>
      </c>
      <c r="C87">
        <v>8089768870</v>
      </c>
      <c r="D87">
        <v>488084935.30000001</v>
      </c>
      <c r="E87">
        <v>45657380068</v>
      </c>
      <c r="F87">
        <v>93604660446</v>
      </c>
      <c r="G87">
        <v>47947280377</v>
      </c>
      <c r="H87">
        <v>0.52143230200000001</v>
      </c>
      <c r="I87">
        <v>1.0179616680000001</v>
      </c>
      <c r="J87">
        <v>0.95224128900000005</v>
      </c>
    </row>
    <row r="88" spans="1:10" x14ac:dyDescent="0.25">
      <c r="A88" t="s">
        <v>12</v>
      </c>
      <c r="B88" s="1">
        <v>44834</v>
      </c>
      <c r="C88">
        <v>16931011156</v>
      </c>
      <c r="D88">
        <v>2086994153</v>
      </c>
      <c r="E88">
        <v>18754849198</v>
      </c>
      <c r="F88">
        <v>52873275455</v>
      </c>
      <c r="G88">
        <v>34118426257</v>
      </c>
      <c r="H88">
        <v>3.9471625970000002</v>
      </c>
      <c r="I88">
        <v>6.1169121249999998</v>
      </c>
      <c r="J88">
        <v>0.54969854299999998</v>
      </c>
    </row>
    <row r="89" spans="1:10" x14ac:dyDescent="0.25">
      <c r="A89" t="s">
        <v>12</v>
      </c>
      <c r="B89" s="1">
        <v>44926</v>
      </c>
      <c r="C89">
        <v>16472180169</v>
      </c>
      <c r="D89">
        <v>2043609431</v>
      </c>
      <c r="E89">
        <v>34718393733</v>
      </c>
      <c r="F89">
        <v>62464433746</v>
      </c>
      <c r="G89">
        <v>27746040013</v>
      </c>
      <c r="H89">
        <v>3.2716368469999999</v>
      </c>
      <c r="I89">
        <v>7.3654093700000001</v>
      </c>
      <c r="J89">
        <v>1.2512918500000001</v>
      </c>
    </row>
    <row r="90" spans="1:10" x14ac:dyDescent="0.25">
      <c r="A90" t="s">
        <v>12</v>
      </c>
      <c r="B90" s="1">
        <v>45016</v>
      </c>
      <c r="C90">
        <v>14581130415</v>
      </c>
      <c r="D90">
        <v>1529637744</v>
      </c>
      <c r="E90">
        <v>32236390204</v>
      </c>
      <c r="F90">
        <v>47068791910</v>
      </c>
      <c r="G90">
        <v>14832401705</v>
      </c>
      <c r="H90">
        <v>3.249791809</v>
      </c>
      <c r="I90">
        <v>10.312812279999999</v>
      </c>
      <c r="J90">
        <v>2.1733762909999998</v>
      </c>
    </row>
    <row r="91" spans="1:10" x14ac:dyDescent="0.25">
      <c r="A91" t="s">
        <v>12</v>
      </c>
      <c r="B91" s="1">
        <v>45107</v>
      </c>
      <c r="C91">
        <v>5318114486</v>
      </c>
      <c r="D91">
        <v>431100966</v>
      </c>
      <c r="E91">
        <v>42312531626</v>
      </c>
      <c r="F91">
        <v>58725506361</v>
      </c>
      <c r="G91">
        <v>16412974734</v>
      </c>
      <c r="H91">
        <v>0.73409493199999998</v>
      </c>
      <c r="I91">
        <v>2.626586423</v>
      </c>
      <c r="J91">
        <v>2.5779928569999999</v>
      </c>
    </row>
    <row r="92" spans="1:10" x14ac:dyDescent="0.25">
      <c r="A92" t="s">
        <v>12</v>
      </c>
      <c r="B92" s="1">
        <v>45199</v>
      </c>
      <c r="C92">
        <v>19814938566</v>
      </c>
      <c r="D92">
        <v>1836312727</v>
      </c>
      <c r="E92">
        <v>18499451286</v>
      </c>
      <c r="F92">
        <v>30329911272</v>
      </c>
      <c r="G92">
        <v>11830459986</v>
      </c>
      <c r="H92">
        <v>6.0544612569999998</v>
      </c>
      <c r="I92">
        <v>15.52190472</v>
      </c>
      <c r="J92">
        <v>1.5637136089999999</v>
      </c>
    </row>
    <row r="93" spans="1:10" x14ac:dyDescent="0.25">
      <c r="A93" t="s">
        <v>12</v>
      </c>
      <c r="B93" s="1">
        <v>45291</v>
      </c>
      <c r="C93">
        <v>13941085692</v>
      </c>
      <c r="D93">
        <v>1722322782</v>
      </c>
      <c r="E93">
        <v>32850325731</v>
      </c>
      <c r="F93">
        <v>66248470463</v>
      </c>
      <c r="G93">
        <v>33398144732</v>
      </c>
      <c r="H93">
        <v>2.5997925230000001</v>
      </c>
      <c r="I93">
        <v>5.1569414870000001</v>
      </c>
      <c r="J93">
        <v>0.98359732200000005</v>
      </c>
    </row>
    <row r="94" spans="1:10" x14ac:dyDescent="0.25">
      <c r="A94" t="s">
        <v>12</v>
      </c>
      <c r="B94" s="1">
        <v>45382</v>
      </c>
      <c r="C94">
        <v>18801502624</v>
      </c>
      <c r="D94">
        <v>1006058196</v>
      </c>
      <c r="E94">
        <v>48264388990</v>
      </c>
      <c r="F94">
        <v>86904149774</v>
      </c>
      <c r="G94">
        <v>38639760784</v>
      </c>
      <c r="H94">
        <v>1.157664161</v>
      </c>
      <c r="I94">
        <v>2.6036863979999998</v>
      </c>
      <c r="J94">
        <v>1.2490861230000001</v>
      </c>
    </row>
    <row r="95" spans="1:10" x14ac:dyDescent="0.25">
      <c r="A95" t="s">
        <v>12</v>
      </c>
      <c r="B95" s="1">
        <v>45473</v>
      </c>
      <c r="C95">
        <v>13059939771</v>
      </c>
      <c r="D95">
        <v>864826440.5</v>
      </c>
      <c r="E95">
        <v>21561018412</v>
      </c>
      <c r="F95">
        <v>57150274352</v>
      </c>
      <c r="G95">
        <v>35589255939</v>
      </c>
      <c r="H95">
        <v>1.5132498489999999</v>
      </c>
      <c r="I95">
        <v>2.4300211329999999</v>
      </c>
      <c r="J95">
        <v>0.60582942399999995</v>
      </c>
    </row>
    <row r="96" spans="1:10" x14ac:dyDescent="0.25">
      <c r="A96" t="s">
        <v>12</v>
      </c>
      <c r="B96" s="1">
        <v>45565</v>
      </c>
      <c r="C96">
        <v>16908879786</v>
      </c>
      <c r="D96">
        <v>1197174003</v>
      </c>
      <c r="E96">
        <v>48008203569</v>
      </c>
      <c r="F96">
        <v>67570965703</v>
      </c>
      <c r="G96">
        <v>19562762134</v>
      </c>
      <c r="H96">
        <v>1.7717284200000001</v>
      </c>
      <c r="I96">
        <v>6.11965731</v>
      </c>
      <c r="J96">
        <v>2.454060589</v>
      </c>
    </row>
    <row r="97" spans="1:10" x14ac:dyDescent="0.25">
      <c r="A97" t="s">
        <v>12</v>
      </c>
      <c r="B97" s="1">
        <v>45657</v>
      </c>
      <c r="C97">
        <v>7203400075</v>
      </c>
      <c r="D97">
        <v>631684017.89999998</v>
      </c>
      <c r="E97">
        <v>23852825717</v>
      </c>
      <c r="F97">
        <v>41830939577</v>
      </c>
      <c r="G97">
        <v>17978113860</v>
      </c>
      <c r="H97">
        <v>1.5100880459999999</v>
      </c>
      <c r="I97">
        <v>3.513627863</v>
      </c>
      <c r="J97">
        <v>1.3267701999999999</v>
      </c>
    </row>
    <row r="98" spans="1:10" x14ac:dyDescent="0.25">
      <c r="A98" t="s">
        <v>13</v>
      </c>
      <c r="B98" s="1">
        <v>42825</v>
      </c>
      <c r="C98">
        <v>18765462866</v>
      </c>
      <c r="D98">
        <v>1081539894</v>
      </c>
      <c r="E98">
        <v>34543581067</v>
      </c>
      <c r="F98">
        <v>80126669599</v>
      </c>
      <c r="G98">
        <v>45583088532</v>
      </c>
      <c r="H98">
        <v>1.3497876550000001</v>
      </c>
      <c r="I98">
        <v>2.3726779589999998</v>
      </c>
      <c r="J98">
        <v>0.75781571999999997</v>
      </c>
    </row>
    <row r="99" spans="1:10" x14ac:dyDescent="0.25">
      <c r="A99" t="s">
        <v>13</v>
      </c>
      <c r="B99" s="1">
        <v>42916</v>
      </c>
      <c r="C99">
        <v>10211703797</v>
      </c>
      <c r="D99">
        <v>526461438.30000001</v>
      </c>
      <c r="E99">
        <v>13575717212</v>
      </c>
      <c r="F99">
        <v>61177654063</v>
      </c>
      <c r="G99">
        <v>47601936851</v>
      </c>
      <c r="H99">
        <v>0.86054531899999998</v>
      </c>
      <c r="I99">
        <v>1.1059664229999999</v>
      </c>
      <c r="J99">
        <v>0.28519253900000002</v>
      </c>
    </row>
    <row r="100" spans="1:10" x14ac:dyDescent="0.25">
      <c r="A100" t="s">
        <v>13</v>
      </c>
      <c r="B100" s="1">
        <v>43008</v>
      </c>
      <c r="C100">
        <v>14824260103</v>
      </c>
      <c r="D100">
        <v>1856672009</v>
      </c>
      <c r="E100">
        <v>49769403556</v>
      </c>
      <c r="F100">
        <v>87097998229</v>
      </c>
      <c r="G100">
        <v>37328594673</v>
      </c>
      <c r="H100">
        <v>2.1317045700000001</v>
      </c>
      <c r="I100">
        <v>4.9738599189999997</v>
      </c>
      <c r="J100">
        <v>1.333278255</v>
      </c>
    </row>
    <row r="101" spans="1:10" x14ac:dyDescent="0.25">
      <c r="A101" t="s">
        <v>13</v>
      </c>
      <c r="B101" s="1">
        <v>43100</v>
      </c>
      <c r="C101">
        <v>18808147150</v>
      </c>
      <c r="D101">
        <v>960184349.60000002</v>
      </c>
      <c r="E101">
        <v>35382107627</v>
      </c>
      <c r="F101">
        <v>67327482638</v>
      </c>
      <c r="G101">
        <v>31945375011</v>
      </c>
      <c r="H101">
        <v>1.42614028</v>
      </c>
      <c r="I101">
        <v>3.0057069269999999</v>
      </c>
      <c r="J101">
        <v>1.1075815389999999</v>
      </c>
    </row>
    <row r="102" spans="1:10" x14ac:dyDescent="0.25">
      <c r="A102" t="s">
        <v>13</v>
      </c>
      <c r="B102" s="1">
        <v>43190</v>
      </c>
      <c r="C102">
        <v>7335760537</v>
      </c>
      <c r="D102">
        <v>743322627.70000005</v>
      </c>
      <c r="E102">
        <v>48776154787</v>
      </c>
      <c r="F102">
        <v>95122657900</v>
      </c>
      <c r="G102">
        <v>46346503113</v>
      </c>
      <c r="H102">
        <v>0.78143593099999997</v>
      </c>
      <c r="I102">
        <v>1.6038375659999999</v>
      </c>
      <c r="J102">
        <v>1.052423624</v>
      </c>
    </row>
    <row r="103" spans="1:10" x14ac:dyDescent="0.25">
      <c r="A103" t="s">
        <v>13</v>
      </c>
      <c r="B103" s="1">
        <v>43281</v>
      </c>
      <c r="C103">
        <v>17315578796</v>
      </c>
      <c r="D103">
        <v>1167741135</v>
      </c>
      <c r="E103">
        <v>16852576890</v>
      </c>
      <c r="F103">
        <v>50991540077</v>
      </c>
      <c r="G103">
        <v>34138963187</v>
      </c>
      <c r="H103">
        <v>2.290068378</v>
      </c>
      <c r="I103">
        <v>3.4205524299999999</v>
      </c>
      <c r="J103">
        <v>0.49364641799999998</v>
      </c>
    </row>
    <row r="104" spans="1:10" x14ac:dyDescent="0.25">
      <c r="A104" t="s">
        <v>13</v>
      </c>
      <c r="B104" s="1">
        <v>43373</v>
      </c>
      <c r="C104">
        <v>5647276212</v>
      </c>
      <c r="D104">
        <v>430192893.60000002</v>
      </c>
      <c r="E104">
        <v>49486716701</v>
      </c>
      <c r="F104">
        <v>66912699732</v>
      </c>
      <c r="G104">
        <v>17425983031</v>
      </c>
      <c r="H104">
        <v>0.64291665899999995</v>
      </c>
      <c r="I104">
        <v>2.4686865170000001</v>
      </c>
      <c r="J104">
        <v>2.8398235330000001</v>
      </c>
    </row>
    <row r="105" spans="1:10" x14ac:dyDescent="0.25">
      <c r="A105" t="s">
        <v>13</v>
      </c>
      <c r="B105" s="1">
        <v>43465</v>
      </c>
      <c r="C105">
        <v>6557505339</v>
      </c>
      <c r="D105">
        <v>618883604.89999998</v>
      </c>
      <c r="E105">
        <v>33315961378</v>
      </c>
      <c r="F105">
        <v>60538144207</v>
      </c>
      <c r="G105">
        <v>27222182829</v>
      </c>
      <c r="H105">
        <v>1.0223035620000001</v>
      </c>
      <c r="I105">
        <v>2.2734532669999998</v>
      </c>
      <c r="J105">
        <v>1.2238534139999999</v>
      </c>
    </row>
    <row r="106" spans="1:10" x14ac:dyDescent="0.25">
      <c r="A106" t="s">
        <v>13</v>
      </c>
      <c r="B106" s="1">
        <v>43555</v>
      </c>
      <c r="C106">
        <v>15132523755</v>
      </c>
      <c r="D106">
        <v>1022601951</v>
      </c>
      <c r="E106">
        <v>38023980809</v>
      </c>
      <c r="F106">
        <v>86825852703</v>
      </c>
      <c r="G106">
        <v>48801871894</v>
      </c>
      <c r="H106">
        <v>1.177762059</v>
      </c>
      <c r="I106">
        <v>2.095415424</v>
      </c>
      <c r="J106">
        <v>0.77915004799999998</v>
      </c>
    </row>
    <row r="107" spans="1:10" x14ac:dyDescent="0.25">
      <c r="A107" t="s">
        <v>13</v>
      </c>
      <c r="B107" s="1">
        <v>43646</v>
      </c>
      <c r="C107">
        <v>13411319092</v>
      </c>
      <c r="D107">
        <v>782523298.89999998</v>
      </c>
      <c r="E107">
        <v>19531535755</v>
      </c>
      <c r="F107">
        <v>37657712776</v>
      </c>
      <c r="G107">
        <v>18126177021</v>
      </c>
      <c r="H107">
        <v>2.0779894510000001</v>
      </c>
      <c r="I107">
        <v>4.317089577</v>
      </c>
      <c r="J107">
        <v>1.0775319990000001</v>
      </c>
    </row>
    <row r="108" spans="1:10" x14ac:dyDescent="0.25">
      <c r="A108" t="s">
        <v>13</v>
      </c>
      <c r="B108" s="1">
        <v>43738</v>
      </c>
      <c r="C108">
        <v>8103350227</v>
      </c>
      <c r="D108">
        <v>738019784.60000002</v>
      </c>
      <c r="E108">
        <v>20380748219</v>
      </c>
      <c r="F108">
        <v>31832927467</v>
      </c>
      <c r="G108">
        <v>11452179248</v>
      </c>
      <c r="H108">
        <v>2.3184163170000001</v>
      </c>
      <c r="I108">
        <v>6.4443611010000001</v>
      </c>
      <c r="J108">
        <v>1.779639296</v>
      </c>
    </row>
    <row r="109" spans="1:10" x14ac:dyDescent="0.25">
      <c r="A109" t="s">
        <v>13</v>
      </c>
      <c r="B109" s="1">
        <v>43830</v>
      </c>
      <c r="C109">
        <v>8859340166</v>
      </c>
      <c r="D109">
        <v>1144565565</v>
      </c>
      <c r="E109">
        <v>40538252302</v>
      </c>
      <c r="F109">
        <v>78168514026</v>
      </c>
      <c r="G109">
        <v>37630261724</v>
      </c>
      <c r="H109">
        <v>1.464228377</v>
      </c>
      <c r="I109">
        <v>3.0416093649999998</v>
      </c>
      <c r="J109">
        <v>1.077277979</v>
      </c>
    </row>
    <row r="110" spans="1:10" x14ac:dyDescent="0.25">
      <c r="A110" t="s">
        <v>13</v>
      </c>
      <c r="B110" s="1">
        <v>43921</v>
      </c>
      <c r="C110">
        <v>12864732630</v>
      </c>
      <c r="D110">
        <v>1045458883</v>
      </c>
      <c r="E110">
        <v>40800355871</v>
      </c>
      <c r="F110">
        <v>78928197945</v>
      </c>
      <c r="G110">
        <v>38127842074</v>
      </c>
      <c r="H110">
        <v>1.324569559</v>
      </c>
      <c r="I110">
        <v>2.7419828310000001</v>
      </c>
      <c r="J110">
        <v>1.070093497</v>
      </c>
    </row>
    <row r="111" spans="1:10" x14ac:dyDescent="0.25">
      <c r="A111" t="s">
        <v>13</v>
      </c>
      <c r="B111" s="1">
        <v>44012</v>
      </c>
      <c r="C111">
        <v>19909637251</v>
      </c>
      <c r="D111">
        <v>2732548048</v>
      </c>
      <c r="E111">
        <v>15058770523</v>
      </c>
      <c r="F111">
        <v>36892503606</v>
      </c>
      <c r="G111">
        <v>21833733082</v>
      </c>
      <c r="H111">
        <v>7.4067839820000003</v>
      </c>
      <c r="I111">
        <v>12.5152581</v>
      </c>
      <c r="J111">
        <v>0.68970205299999998</v>
      </c>
    </row>
    <row r="112" spans="1:10" x14ac:dyDescent="0.25">
      <c r="A112" t="s">
        <v>13</v>
      </c>
      <c r="B112" s="1">
        <v>44104</v>
      </c>
      <c r="C112">
        <v>9482010377</v>
      </c>
      <c r="D112">
        <v>803442750.39999998</v>
      </c>
      <c r="E112">
        <v>46174948427</v>
      </c>
      <c r="F112">
        <v>92567055368</v>
      </c>
      <c r="G112">
        <v>46392106941</v>
      </c>
      <c r="H112">
        <v>0.86795755500000005</v>
      </c>
      <c r="I112">
        <v>1.731852256</v>
      </c>
      <c r="J112">
        <v>0.99531906299999995</v>
      </c>
    </row>
    <row r="113" spans="1:10" x14ac:dyDescent="0.25">
      <c r="A113" t="s">
        <v>13</v>
      </c>
      <c r="B113" s="1">
        <v>44196</v>
      </c>
      <c r="C113">
        <v>6940311223</v>
      </c>
      <c r="D113">
        <v>962499322.10000002</v>
      </c>
      <c r="E113">
        <v>29150494667</v>
      </c>
      <c r="F113">
        <v>41331347093</v>
      </c>
      <c r="G113">
        <v>12180852427</v>
      </c>
      <c r="H113">
        <v>2.3287392979999999</v>
      </c>
      <c r="I113">
        <v>7.901740276</v>
      </c>
      <c r="J113">
        <v>2.3931407789999999</v>
      </c>
    </row>
    <row r="114" spans="1:10" x14ac:dyDescent="0.25">
      <c r="A114" t="s">
        <v>13</v>
      </c>
      <c r="B114" s="1">
        <v>44286</v>
      </c>
      <c r="C114">
        <v>8417325544</v>
      </c>
      <c r="D114">
        <v>742678238</v>
      </c>
      <c r="E114">
        <v>36333752143</v>
      </c>
      <c r="F114">
        <v>50307101979</v>
      </c>
      <c r="G114">
        <v>13973349836</v>
      </c>
      <c r="H114">
        <v>1.4762890500000001</v>
      </c>
      <c r="I114">
        <v>5.3149620290000001</v>
      </c>
      <c r="J114">
        <v>2.6002177409999998</v>
      </c>
    </row>
    <row r="115" spans="1:10" x14ac:dyDescent="0.25">
      <c r="A115" t="s">
        <v>13</v>
      </c>
      <c r="B115" s="1">
        <v>44377</v>
      </c>
      <c r="C115">
        <v>12011483364</v>
      </c>
      <c r="D115">
        <v>1571388192</v>
      </c>
      <c r="E115">
        <v>16704351188</v>
      </c>
      <c r="F115">
        <v>36319540470</v>
      </c>
      <c r="G115">
        <v>19615189283</v>
      </c>
      <c r="H115">
        <v>4.3265640809999999</v>
      </c>
      <c r="I115">
        <v>8.0110784020000008</v>
      </c>
      <c r="J115">
        <v>0.85160285499999999</v>
      </c>
    </row>
    <row r="116" spans="1:10" x14ac:dyDescent="0.25">
      <c r="A116" t="s">
        <v>13</v>
      </c>
      <c r="B116" s="1">
        <v>44469</v>
      </c>
      <c r="C116">
        <v>14132310152</v>
      </c>
      <c r="D116">
        <v>1250503703</v>
      </c>
      <c r="E116">
        <v>34109472155</v>
      </c>
      <c r="F116">
        <v>60179867780</v>
      </c>
      <c r="G116">
        <v>26070395624</v>
      </c>
      <c r="H116">
        <v>2.077943587</v>
      </c>
      <c r="I116">
        <v>4.7966426020000004</v>
      </c>
      <c r="J116">
        <v>1.3083603580000001</v>
      </c>
    </row>
    <row r="117" spans="1:10" x14ac:dyDescent="0.25">
      <c r="A117" t="s">
        <v>13</v>
      </c>
      <c r="B117" s="1">
        <v>44561</v>
      </c>
      <c r="C117">
        <v>18321682480</v>
      </c>
      <c r="D117">
        <v>1436804767</v>
      </c>
      <c r="E117">
        <v>33230894855</v>
      </c>
      <c r="F117">
        <v>73659285546</v>
      </c>
      <c r="G117">
        <v>40428390691</v>
      </c>
      <c r="H117">
        <v>1.9506091539999999</v>
      </c>
      <c r="I117">
        <v>3.5539499399999999</v>
      </c>
      <c r="J117">
        <v>0.82196927200000003</v>
      </c>
    </row>
    <row r="118" spans="1:10" x14ac:dyDescent="0.25">
      <c r="A118" t="s">
        <v>13</v>
      </c>
      <c r="B118" s="1">
        <v>44651</v>
      </c>
      <c r="C118">
        <v>11652663475</v>
      </c>
      <c r="D118">
        <v>1123917078</v>
      </c>
      <c r="E118">
        <v>30713910663</v>
      </c>
      <c r="F118">
        <v>55316480279</v>
      </c>
      <c r="G118">
        <v>24602569617</v>
      </c>
      <c r="H118">
        <v>2.031794272</v>
      </c>
      <c r="I118">
        <v>4.5682914229999998</v>
      </c>
      <c r="J118">
        <v>1.2484025510000001</v>
      </c>
    </row>
    <row r="119" spans="1:10" x14ac:dyDescent="0.25">
      <c r="A119" t="s">
        <v>13</v>
      </c>
      <c r="B119" s="1">
        <v>44742</v>
      </c>
      <c r="C119">
        <v>11584036388</v>
      </c>
      <c r="D119">
        <v>1399147461</v>
      </c>
      <c r="E119">
        <v>22546412228</v>
      </c>
      <c r="F119">
        <v>53277235987</v>
      </c>
      <c r="G119">
        <v>30730823758</v>
      </c>
      <c r="H119">
        <v>2.6261637549999999</v>
      </c>
      <c r="I119">
        <v>4.5529123199999999</v>
      </c>
      <c r="J119">
        <v>0.73367419</v>
      </c>
    </row>
    <row r="120" spans="1:10" x14ac:dyDescent="0.25">
      <c r="A120" t="s">
        <v>13</v>
      </c>
      <c r="B120" s="1">
        <v>44834</v>
      </c>
      <c r="C120">
        <v>18782382394</v>
      </c>
      <c r="D120">
        <v>1614997271</v>
      </c>
      <c r="E120">
        <v>25317192992</v>
      </c>
      <c r="F120">
        <v>38617124033</v>
      </c>
      <c r="G120">
        <v>13299931041</v>
      </c>
      <c r="H120">
        <v>4.18207547</v>
      </c>
      <c r="I120">
        <v>12.142899590000001</v>
      </c>
      <c r="J120">
        <v>1.9035582150000001</v>
      </c>
    </row>
    <row r="121" spans="1:10" x14ac:dyDescent="0.25">
      <c r="A121" t="s">
        <v>13</v>
      </c>
      <c r="B121" s="1">
        <v>44926</v>
      </c>
      <c r="C121">
        <v>7382434260</v>
      </c>
      <c r="D121">
        <v>1093800017</v>
      </c>
      <c r="E121">
        <v>35338248318</v>
      </c>
      <c r="F121">
        <v>45898916976</v>
      </c>
      <c r="G121">
        <v>10560668658</v>
      </c>
      <c r="H121">
        <v>2.383062802</v>
      </c>
      <c r="I121">
        <v>10.35729888</v>
      </c>
      <c r="J121">
        <v>3.3462131479999999</v>
      </c>
    </row>
    <row r="122" spans="1:10" x14ac:dyDescent="0.25">
      <c r="A122" t="s">
        <v>13</v>
      </c>
      <c r="B122" s="1">
        <v>45016</v>
      </c>
      <c r="C122">
        <v>19456335114</v>
      </c>
      <c r="D122">
        <v>2009563555</v>
      </c>
      <c r="E122">
        <v>47081333393</v>
      </c>
      <c r="F122">
        <v>64537094762</v>
      </c>
      <c r="G122">
        <v>17455761369</v>
      </c>
      <c r="H122">
        <v>3.1138116180000002</v>
      </c>
      <c r="I122">
        <v>11.512322559999999</v>
      </c>
      <c r="J122">
        <v>2.6971801690000001</v>
      </c>
    </row>
    <row r="123" spans="1:10" x14ac:dyDescent="0.25">
      <c r="A123" t="s">
        <v>13</v>
      </c>
      <c r="B123" s="1">
        <v>45107</v>
      </c>
      <c r="C123">
        <v>14368618381</v>
      </c>
      <c r="D123">
        <v>1533626886</v>
      </c>
      <c r="E123">
        <v>42361743521</v>
      </c>
      <c r="F123">
        <v>64353154119</v>
      </c>
      <c r="G123">
        <v>21991410599</v>
      </c>
      <c r="H123">
        <v>2.3831417539999999</v>
      </c>
      <c r="I123">
        <v>6.9737540439999997</v>
      </c>
      <c r="J123">
        <v>1.9262858709999999</v>
      </c>
    </row>
    <row r="124" spans="1:10" x14ac:dyDescent="0.25">
      <c r="A124" t="s">
        <v>13</v>
      </c>
      <c r="B124" s="1">
        <v>45199</v>
      </c>
      <c r="C124">
        <v>12729885504</v>
      </c>
      <c r="D124">
        <v>1804875257</v>
      </c>
      <c r="E124">
        <v>10865997336</v>
      </c>
      <c r="F124">
        <v>56007965536</v>
      </c>
      <c r="G124">
        <v>45141968200</v>
      </c>
      <c r="H124">
        <v>3.222533152</v>
      </c>
      <c r="I124">
        <v>3.9982201239999999</v>
      </c>
      <c r="J124">
        <v>0.240707213</v>
      </c>
    </row>
    <row r="125" spans="1:10" x14ac:dyDescent="0.25">
      <c r="A125" t="s">
        <v>13</v>
      </c>
      <c r="B125" s="1">
        <v>45291</v>
      </c>
      <c r="C125">
        <v>8469619625</v>
      </c>
      <c r="D125">
        <v>602960048.5</v>
      </c>
      <c r="E125">
        <v>32716601950</v>
      </c>
      <c r="F125">
        <v>78863289364</v>
      </c>
      <c r="G125">
        <v>46146687414</v>
      </c>
      <c r="H125">
        <v>0.76456365599999998</v>
      </c>
      <c r="I125">
        <v>1.3066161030000001</v>
      </c>
      <c r="J125">
        <v>0.70896967399999999</v>
      </c>
    </row>
    <row r="126" spans="1:10" x14ac:dyDescent="0.25">
      <c r="A126" t="s">
        <v>13</v>
      </c>
      <c r="B126" s="1">
        <v>45382</v>
      </c>
      <c r="C126">
        <v>15848632086</v>
      </c>
      <c r="D126">
        <v>2129654605</v>
      </c>
      <c r="E126">
        <v>38842203399</v>
      </c>
      <c r="F126">
        <v>87315704066</v>
      </c>
      <c r="G126">
        <v>48473500667</v>
      </c>
      <c r="H126">
        <v>2.4390281539999998</v>
      </c>
      <c r="I126">
        <v>4.393440901</v>
      </c>
      <c r="J126">
        <v>0.80130798999999997</v>
      </c>
    </row>
    <row r="127" spans="1:10" x14ac:dyDescent="0.25">
      <c r="A127" t="s">
        <v>13</v>
      </c>
      <c r="B127" s="1">
        <v>45473</v>
      </c>
      <c r="C127">
        <v>17928146832</v>
      </c>
      <c r="D127">
        <v>2182113657</v>
      </c>
      <c r="E127">
        <v>12109060417</v>
      </c>
      <c r="F127">
        <v>56333682316</v>
      </c>
      <c r="G127">
        <v>44224621899</v>
      </c>
      <c r="H127">
        <v>3.8735505429999999</v>
      </c>
      <c r="I127">
        <v>4.9341601209999997</v>
      </c>
      <c r="J127">
        <v>0.27380811599999999</v>
      </c>
    </row>
    <row r="128" spans="1:10" x14ac:dyDescent="0.25">
      <c r="A128" t="s">
        <v>13</v>
      </c>
      <c r="B128" s="1">
        <v>45565</v>
      </c>
      <c r="C128">
        <v>17989542164</v>
      </c>
      <c r="D128">
        <v>2639441820</v>
      </c>
      <c r="E128">
        <v>33643521649</v>
      </c>
      <c r="F128">
        <v>69399402463</v>
      </c>
      <c r="G128">
        <v>35755880815</v>
      </c>
      <c r="H128">
        <v>3.8032630350000001</v>
      </c>
      <c r="I128">
        <v>7.3818397429999996</v>
      </c>
      <c r="J128">
        <v>0.94092274799999998</v>
      </c>
    </row>
    <row r="129" spans="1:10" x14ac:dyDescent="0.25">
      <c r="A129" t="s">
        <v>13</v>
      </c>
      <c r="B129" s="1">
        <v>45657</v>
      </c>
      <c r="C129">
        <v>6152045684</v>
      </c>
      <c r="D129">
        <v>707968936.5</v>
      </c>
      <c r="E129">
        <v>29243056689</v>
      </c>
      <c r="F129">
        <v>57427208762</v>
      </c>
      <c r="G129">
        <v>28184152074</v>
      </c>
      <c r="H129">
        <v>1.2328109819999999</v>
      </c>
      <c r="I129">
        <v>2.511939811</v>
      </c>
      <c r="J129">
        <v>1.0375709230000001</v>
      </c>
    </row>
    <row r="130" spans="1:10" x14ac:dyDescent="0.25">
      <c r="A130" t="s">
        <v>14</v>
      </c>
      <c r="B130" s="1">
        <v>42825</v>
      </c>
      <c r="C130">
        <v>16836243798</v>
      </c>
      <c r="D130">
        <v>2100216671</v>
      </c>
      <c r="E130">
        <v>19360624506</v>
      </c>
      <c r="F130">
        <v>64506392372</v>
      </c>
      <c r="G130">
        <v>45145767866</v>
      </c>
      <c r="H130">
        <v>3.255827204</v>
      </c>
      <c r="I130">
        <v>4.6520787449999998</v>
      </c>
      <c r="J130">
        <v>0.42884694200000001</v>
      </c>
    </row>
    <row r="131" spans="1:10" x14ac:dyDescent="0.25">
      <c r="A131" t="s">
        <v>14</v>
      </c>
      <c r="B131" s="1">
        <v>42916</v>
      </c>
      <c r="C131">
        <v>16139422505</v>
      </c>
      <c r="D131">
        <v>1276985447</v>
      </c>
      <c r="E131">
        <v>16542748372</v>
      </c>
      <c r="F131">
        <v>53339154988</v>
      </c>
      <c r="G131">
        <v>36796406616</v>
      </c>
      <c r="H131">
        <v>2.394086384</v>
      </c>
      <c r="I131">
        <v>3.4704080209999999</v>
      </c>
      <c r="J131">
        <v>0.44957510499999997</v>
      </c>
    </row>
    <row r="132" spans="1:10" x14ac:dyDescent="0.25">
      <c r="A132" t="s">
        <v>14</v>
      </c>
      <c r="B132" s="1">
        <v>43008</v>
      </c>
      <c r="C132">
        <v>9548006554</v>
      </c>
      <c r="D132">
        <v>1237046329</v>
      </c>
      <c r="E132">
        <v>27483087953</v>
      </c>
      <c r="F132">
        <v>52090363015</v>
      </c>
      <c r="G132">
        <v>24607275062</v>
      </c>
      <c r="H132">
        <v>2.3748084249999999</v>
      </c>
      <c r="I132">
        <v>5.0271569129999998</v>
      </c>
      <c r="J132">
        <v>1.1168684010000001</v>
      </c>
    </row>
    <row r="133" spans="1:10" x14ac:dyDescent="0.25">
      <c r="A133" t="s">
        <v>14</v>
      </c>
      <c r="B133" s="1">
        <v>43100</v>
      </c>
      <c r="C133">
        <v>16895580815</v>
      </c>
      <c r="D133">
        <v>1797081911</v>
      </c>
      <c r="E133">
        <v>28309420014</v>
      </c>
      <c r="F133">
        <v>68036567115</v>
      </c>
      <c r="G133">
        <v>39727147101</v>
      </c>
      <c r="H133">
        <v>2.641347127</v>
      </c>
      <c r="I133">
        <v>4.5235614489999998</v>
      </c>
      <c r="J133">
        <v>0.71259634999999999</v>
      </c>
    </row>
    <row r="134" spans="1:10" x14ac:dyDescent="0.25">
      <c r="A134" t="s">
        <v>14</v>
      </c>
      <c r="B134" s="1">
        <v>43190</v>
      </c>
      <c r="C134">
        <v>16240083291</v>
      </c>
      <c r="D134">
        <v>1330285061</v>
      </c>
      <c r="E134">
        <v>20620789244</v>
      </c>
      <c r="F134">
        <v>35863861269</v>
      </c>
      <c r="G134">
        <v>15243072025</v>
      </c>
      <c r="H134">
        <v>3.7092633460000002</v>
      </c>
      <c r="I134">
        <v>8.7271454100000003</v>
      </c>
      <c r="J134">
        <v>1.3527974679999999</v>
      </c>
    </row>
    <row r="135" spans="1:10" x14ac:dyDescent="0.25">
      <c r="A135" t="s">
        <v>14</v>
      </c>
      <c r="B135" s="1">
        <v>43281</v>
      </c>
      <c r="C135">
        <v>11432373323</v>
      </c>
      <c r="D135">
        <v>902833070.5</v>
      </c>
      <c r="E135">
        <v>15796422658</v>
      </c>
      <c r="F135">
        <v>55141147698</v>
      </c>
      <c r="G135">
        <v>39344725041</v>
      </c>
      <c r="H135">
        <v>1.6373128020000001</v>
      </c>
      <c r="I135">
        <v>2.2946737320000001</v>
      </c>
      <c r="J135">
        <v>0.40148768699999998</v>
      </c>
    </row>
    <row r="136" spans="1:10" x14ac:dyDescent="0.25">
      <c r="A136" t="s">
        <v>14</v>
      </c>
      <c r="B136" s="1">
        <v>43373</v>
      </c>
      <c r="C136">
        <v>19846387618</v>
      </c>
      <c r="D136">
        <v>2884007106</v>
      </c>
      <c r="E136">
        <v>11017913220</v>
      </c>
      <c r="F136">
        <v>31498369926</v>
      </c>
      <c r="G136">
        <v>20480456706</v>
      </c>
      <c r="H136">
        <v>9.1560519239999998</v>
      </c>
      <c r="I136">
        <v>14.08175192</v>
      </c>
      <c r="J136">
        <v>0.53797204700000001</v>
      </c>
    </row>
    <row r="137" spans="1:10" x14ac:dyDescent="0.25">
      <c r="A137" t="s">
        <v>14</v>
      </c>
      <c r="B137" s="1">
        <v>43465</v>
      </c>
      <c r="C137">
        <v>10270182691</v>
      </c>
      <c r="D137">
        <v>708863277.10000002</v>
      </c>
      <c r="E137">
        <v>42708053991</v>
      </c>
      <c r="F137">
        <v>57050114588</v>
      </c>
      <c r="G137">
        <v>14342060597</v>
      </c>
      <c r="H137">
        <v>1.24252735</v>
      </c>
      <c r="I137">
        <v>4.9425483339999996</v>
      </c>
      <c r="J137">
        <v>2.9778185430000002</v>
      </c>
    </row>
    <row r="138" spans="1:10" x14ac:dyDescent="0.25">
      <c r="A138" t="s">
        <v>14</v>
      </c>
      <c r="B138" s="1">
        <v>43555</v>
      </c>
      <c r="C138">
        <v>13827496449</v>
      </c>
      <c r="D138">
        <v>1133835190</v>
      </c>
      <c r="E138">
        <v>46117811894</v>
      </c>
      <c r="F138">
        <v>82240340578</v>
      </c>
      <c r="G138">
        <v>36122528684</v>
      </c>
      <c r="H138">
        <v>1.378684939</v>
      </c>
      <c r="I138">
        <v>3.1388588529999999</v>
      </c>
      <c r="J138">
        <v>1.2767049699999999</v>
      </c>
    </row>
    <row r="139" spans="1:10" x14ac:dyDescent="0.25">
      <c r="A139" t="s">
        <v>14</v>
      </c>
      <c r="B139" s="1">
        <v>43646</v>
      </c>
      <c r="C139">
        <v>11534207296</v>
      </c>
      <c r="D139">
        <v>1513985001</v>
      </c>
      <c r="E139">
        <v>19270767207</v>
      </c>
      <c r="F139">
        <v>53405386175</v>
      </c>
      <c r="G139">
        <v>34134618968</v>
      </c>
      <c r="H139">
        <v>2.834891963</v>
      </c>
      <c r="I139">
        <v>4.4353358739999997</v>
      </c>
      <c r="J139">
        <v>0.564551994</v>
      </c>
    </row>
    <row r="140" spans="1:10" x14ac:dyDescent="0.25">
      <c r="A140" t="s">
        <v>14</v>
      </c>
      <c r="B140" s="1">
        <v>43738</v>
      </c>
      <c r="C140">
        <v>7430177132</v>
      </c>
      <c r="D140">
        <v>551583106</v>
      </c>
      <c r="E140">
        <v>33765326378</v>
      </c>
      <c r="F140">
        <v>50383426520</v>
      </c>
      <c r="G140">
        <v>16618100141</v>
      </c>
      <c r="H140">
        <v>1.094770928</v>
      </c>
      <c r="I140">
        <v>3.3191706710000002</v>
      </c>
      <c r="J140">
        <v>2.0318403479999998</v>
      </c>
    </row>
    <row r="141" spans="1:10" x14ac:dyDescent="0.25">
      <c r="A141" t="s">
        <v>14</v>
      </c>
      <c r="B141" s="1">
        <v>43830</v>
      </c>
      <c r="C141">
        <v>17877114298</v>
      </c>
      <c r="D141">
        <v>1224635136</v>
      </c>
      <c r="E141">
        <v>31860731568</v>
      </c>
      <c r="F141">
        <v>65500282723</v>
      </c>
      <c r="G141">
        <v>33639551155</v>
      </c>
      <c r="H141">
        <v>1.8696638919999999</v>
      </c>
      <c r="I141">
        <v>3.6404621750000001</v>
      </c>
      <c r="J141">
        <v>0.94712118499999998</v>
      </c>
    </row>
    <row r="142" spans="1:10" x14ac:dyDescent="0.25">
      <c r="A142" t="s">
        <v>14</v>
      </c>
      <c r="B142" s="1">
        <v>43921</v>
      </c>
      <c r="C142">
        <v>9927936838</v>
      </c>
      <c r="D142">
        <v>1197785480</v>
      </c>
      <c r="E142">
        <v>37635556954</v>
      </c>
      <c r="F142">
        <v>86394249061</v>
      </c>
      <c r="G142">
        <v>48758692107</v>
      </c>
      <c r="H142">
        <v>1.3864180699999999</v>
      </c>
      <c r="I142">
        <v>2.4565578540000002</v>
      </c>
      <c r="J142">
        <v>0.77187380000000005</v>
      </c>
    </row>
    <row r="143" spans="1:10" x14ac:dyDescent="0.25">
      <c r="A143" t="s">
        <v>14</v>
      </c>
      <c r="B143" s="1">
        <v>44012</v>
      </c>
      <c r="C143">
        <v>11914158554</v>
      </c>
      <c r="D143">
        <v>1054111676</v>
      </c>
      <c r="E143">
        <v>43298236595</v>
      </c>
      <c r="F143">
        <v>83113769380</v>
      </c>
      <c r="G143">
        <v>39815532785</v>
      </c>
      <c r="H143">
        <v>1.268275622</v>
      </c>
      <c r="I143">
        <v>2.6474885609999999</v>
      </c>
      <c r="J143">
        <v>1.087470983</v>
      </c>
    </row>
    <row r="144" spans="1:10" x14ac:dyDescent="0.25">
      <c r="A144" t="s">
        <v>14</v>
      </c>
      <c r="B144" s="1">
        <v>44104</v>
      </c>
      <c r="C144">
        <v>18130200876</v>
      </c>
      <c r="D144">
        <v>2418330284</v>
      </c>
      <c r="E144">
        <v>49603599758</v>
      </c>
      <c r="F144">
        <v>91937242355</v>
      </c>
      <c r="G144">
        <v>42333642596</v>
      </c>
      <c r="H144">
        <v>2.6304142069999998</v>
      </c>
      <c r="I144">
        <v>5.7125494889999997</v>
      </c>
      <c r="J144">
        <v>1.171730017</v>
      </c>
    </row>
    <row r="145" spans="1:10" x14ac:dyDescent="0.25">
      <c r="A145" t="s">
        <v>14</v>
      </c>
      <c r="B145" s="1">
        <v>44196</v>
      </c>
      <c r="C145">
        <v>11583572658</v>
      </c>
      <c r="D145">
        <v>1407524593</v>
      </c>
      <c r="E145">
        <v>37122614462</v>
      </c>
      <c r="F145">
        <v>82673694404</v>
      </c>
      <c r="G145">
        <v>45551079942</v>
      </c>
      <c r="H145">
        <v>1.7025059819999999</v>
      </c>
      <c r="I145">
        <v>3.0899917069999998</v>
      </c>
      <c r="J145">
        <v>0.814966725</v>
      </c>
    </row>
    <row r="146" spans="1:10" x14ac:dyDescent="0.25">
      <c r="A146" t="s">
        <v>14</v>
      </c>
      <c r="B146" s="1">
        <v>44286</v>
      </c>
      <c r="C146">
        <v>6644620233</v>
      </c>
      <c r="D146">
        <v>990744714.5</v>
      </c>
      <c r="E146">
        <v>21424039042</v>
      </c>
      <c r="F146">
        <v>52878014917</v>
      </c>
      <c r="G146">
        <v>31453975875</v>
      </c>
      <c r="H146">
        <v>1.873642035</v>
      </c>
      <c r="I146">
        <v>3.1498234699999998</v>
      </c>
      <c r="J146">
        <v>0.68112340199999999</v>
      </c>
    </row>
    <row r="147" spans="1:10" x14ac:dyDescent="0.25">
      <c r="A147" t="s">
        <v>14</v>
      </c>
      <c r="B147" s="1">
        <v>44377</v>
      </c>
      <c r="C147">
        <v>18768998808</v>
      </c>
      <c r="D147">
        <v>1373518726</v>
      </c>
      <c r="E147">
        <v>31667361119</v>
      </c>
      <c r="F147">
        <v>58519002305</v>
      </c>
      <c r="G147">
        <v>26851641187</v>
      </c>
      <c r="H147">
        <v>2.3471328480000002</v>
      </c>
      <c r="I147">
        <v>5.1152133160000002</v>
      </c>
      <c r="J147">
        <v>1.17934546</v>
      </c>
    </row>
    <row r="148" spans="1:10" x14ac:dyDescent="0.25">
      <c r="A148" t="s">
        <v>14</v>
      </c>
      <c r="B148" s="1">
        <v>44469</v>
      </c>
      <c r="C148">
        <v>10808670566</v>
      </c>
      <c r="D148">
        <v>658653438.10000002</v>
      </c>
      <c r="E148">
        <v>37937729306</v>
      </c>
      <c r="F148">
        <v>85517814001</v>
      </c>
      <c r="G148">
        <v>47580084695</v>
      </c>
      <c r="H148">
        <v>0.77019442800000004</v>
      </c>
      <c r="I148">
        <v>1.384304888</v>
      </c>
      <c r="J148">
        <v>0.79734472000000001</v>
      </c>
    </row>
    <row r="149" spans="1:10" x14ac:dyDescent="0.25">
      <c r="A149" t="s">
        <v>14</v>
      </c>
      <c r="B149" s="1">
        <v>44561</v>
      </c>
      <c r="C149">
        <v>18793891125</v>
      </c>
      <c r="D149">
        <v>2702710428</v>
      </c>
      <c r="E149">
        <v>12423193661</v>
      </c>
      <c r="F149">
        <v>54396450621</v>
      </c>
      <c r="G149">
        <v>41973256961</v>
      </c>
      <c r="H149">
        <v>4.9685418759999997</v>
      </c>
      <c r="I149">
        <v>6.4391248709999998</v>
      </c>
      <c r="J149">
        <v>0.29597878700000002</v>
      </c>
    </row>
    <row r="150" spans="1:10" x14ac:dyDescent="0.25">
      <c r="A150" t="s">
        <v>14</v>
      </c>
      <c r="B150" s="1">
        <v>44651</v>
      </c>
      <c r="C150">
        <v>7020216669</v>
      </c>
      <c r="D150">
        <v>504888024.60000002</v>
      </c>
      <c r="E150">
        <v>19566830326</v>
      </c>
      <c r="F150">
        <v>62928514411</v>
      </c>
      <c r="G150">
        <v>43361684085</v>
      </c>
      <c r="H150">
        <v>0.80231994900000003</v>
      </c>
      <c r="I150">
        <v>1.164364427</v>
      </c>
      <c r="J150">
        <v>0.45124701099999998</v>
      </c>
    </row>
    <row r="151" spans="1:10" x14ac:dyDescent="0.25">
      <c r="A151" t="s">
        <v>14</v>
      </c>
      <c r="B151" s="1">
        <v>44742</v>
      </c>
      <c r="C151">
        <v>11227593925</v>
      </c>
      <c r="D151">
        <v>1221025867</v>
      </c>
      <c r="E151">
        <v>27001572213</v>
      </c>
      <c r="F151">
        <v>45570891422</v>
      </c>
      <c r="G151">
        <v>18569319208</v>
      </c>
      <c r="H151">
        <v>2.6793986890000001</v>
      </c>
      <c r="I151">
        <v>6.5755015219999997</v>
      </c>
      <c r="J151">
        <v>1.4540959689999999</v>
      </c>
    </row>
    <row r="152" spans="1:10" x14ac:dyDescent="0.25">
      <c r="A152" t="s">
        <v>14</v>
      </c>
      <c r="B152" s="1">
        <v>44834</v>
      </c>
      <c r="C152">
        <v>8861717408</v>
      </c>
      <c r="D152">
        <v>569761713.29999995</v>
      </c>
      <c r="E152">
        <v>46662383110</v>
      </c>
      <c r="F152">
        <v>69619249891</v>
      </c>
      <c r="G152">
        <v>22956866781</v>
      </c>
      <c r="H152">
        <v>0.81839680000000004</v>
      </c>
      <c r="I152">
        <v>2.4818792510000001</v>
      </c>
      <c r="J152">
        <v>2.032611138</v>
      </c>
    </row>
    <row r="153" spans="1:10" x14ac:dyDescent="0.25">
      <c r="A153" t="s">
        <v>14</v>
      </c>
      <c r="B153" s="1">
        <v>44926</v>
      </c>
      <c r="C153">
        <v>13018762765</v>
      </c>
      <c r="D153">
        <v>1704211990</v>
      </c>
      <c r="E153">
        <v>11167034881</v>
      </c>
      <c r="F153">
        <v>30031637051</v>
      </c>
      <c r="G153">
        <v>18864602170</v>
      </c>
      <c r="H153">
        <v>5.6747222500000003</v>
      </c>
      <c r="I153">
        <v>9.0339142819999996</v>
      </c>
      <c r="J153">
        <v>0.59195708300000005</v>
      </c>
    </row>
    <row r="154" spans="1:10" x14ac:dyDescent="0.25">
      <c r="A154" t="s">
        <v>14</v>
      </c>
      <c r="B154" s="1">
        <v>45016</v>
      </c>
      <c r="C154">
        <v>9496852852</v>
      </c>
      <c r="D154">
        <v>691692392.20000005</v>
      </c>
      <c r="E154">
        <v>36704020555</v>
      </c>
      <c r="F154">
        <v>77712763784</v>
      </c>
      <c r="G154">
        <v>41008743229</v>
      </c>
      <c r="H154">
        <v>0.89006278800000005</v>
      </c>
      <c r="I154">
        <v>1.6866949280000001</v>
      </c>
      <c r="J154">
        <v>0.89502914899999997</v>
      </c>
    </row>
    <row r="155" spans="1:10" x14ac:dyDescent="0.25">
      <c r="A155" t="s">
        <v>14</v>
      </c>
      <c r="B155" s="1">
        <v>45107</v>
      </c>
      <c r="C155">
        <v>14800185962</v>
      </c>
      <c r="D155">
        <v>1295428284</v>
      </c>
      <c r="E155">
        <v>11911955269</v>
      </c>
      <c r="F155">
        <v>57692706612</v>
      </c>
      <c r="G155">
        <v>45780751343</v>
      </c>
      <c r="H155">
        <v>2.245393499</v>
      </c>
      <c r="I155">
        <v>2.8296352640000002</v>
      </c>
      <c r="J155">
        <v>0.26019571400000002</v>
      </c>
    </row>
    <row r="156" spans="1:10" x14ac:dyDescent="0.25">
      <c r="A156" t="s">
        <v>14</v>
      </c>
      <c r="B156" s="1">
        <v>45199</v>
      </c>
      <c r="C156">
        <v>8416753062</v>
      </c>
      <c r="D156">
        <v>980336277</v>
      </c>
      <c r="E156">
        <v>46036015495</v>
      </c>
      <c r="F156">
        <v>95477772055</v>
      </c>
      <c r="G156">
        <v>49441756560</v>
      </c>
      <c r="H156">
        <v>1.026769117</v>
      </c>
      <c r="I156">
        <v>1.9828103720000001</v>
      </c>
      <c r="J156">
        <v>0.93111609900000003</v>
      </c>
    </row>
    <row r="157" spans="1:10" x14ac:dyDescent="0.25">
      <c r="A157" t="s">
        <v>14</v>
      </c>
      <c r="B157" s="1">
        <v>45291</v>
      </c>
      <c r="C157">
        <v>12852011317</v>
      </c>
      <c r="D157">
        <v>684110085.89999998</v>
      </c>
      <c r="E157">
        <v>18179739764</v>
      </c>
      <c r="F157">
        <v>53040583203</v>
      </c>
      <c r="G157">
        <v>34860843439</v>
      </c>
      <c r="H157">
        <v>1.2897861310000001</v>
      </c>
      <c r="I157">
        <v>1.9624025650000001</v>
      </c>
      <c r="J157">
        <v>0.52149454699999997</v>
      </c>
    </row>
    <row r="158" spans="1:10" x14ac:dyDescent="0.25">
      <c r="A158" t="s">
        <v>14</v>
      </c>
      <c r="B158" s="1">
        <v>45382</v>
      </c>
      <c r="C158">
        <v>19756965859</v>
      </c>
      <c r="D158">
        <v>1431835601</v>
      </c>
      <c r="E158">
        <v>10848294146</v>
      </c>
      <c r="F158">
        <v>60234434421</v>
      </c>
      <c r="G158">
        <v>49386140275</v>
      </c>
      <c r="H158">
        <v>2.3771047489999999</v>
      </c>
      <c r="I158">
        <v>2.899266055</v>
      </c>
      <c r="J158">
        <v>0.219662725</v>
      </c>
    </row>
    <row r="159" spans="1:10" x14ac:dyDescent="0.25">
      <c r="A159" t="s">
        <v>14</v>
      </c>
      <c r="B159" s="1">
        <v>45473</v>
      </c>
      <c r="C159">
        <v>11122911230</v>
      </c>
      <c r="D159">
        <v>1144594204</v>
      </c>
      <c r="E159">
        <v>29846781652</v>
      </c>
      <c r="F159">
        <v>60313552592</v>
      </c>
      <c r="G159">
        <v>30466770941</v>
      </c>
      <c r="H159">
        <v>1.8977396529999999</v>
      </c>
      <c r="I159">
        <v>3.7568608970000001</v>
      </c>
      <c r="J159">
        <v>0.97965031199999997</v>
      </c>
    </row>
    <row r="160" spans="1:10" x14ac:dyDescent="0.25">
      <c r="A160" t="s">
        <v>14</v>
      </c>
      <c r="B160" s="1">
        <v>45565</v>
      </c>
      <c r="C160">
        <v>16485330446</v>
      </c>
      <c r="D160">
        <v>1727330520</v>
      </c>
      <c r="E160">
        <v>41199120058</v>
      </c>
      <c r="F160">
        <v>58775396940</v>
      </c>
      <c r="G160">
        <v>17576276882</v>
      </c>
      <c r="H160">
        <v>2.938866617</v>
      </c>
      <c r="I160">
        <v>9.8276246510000007</v>
      </c>
      <c r="J160">
        <v>2.3440186070000002</v>
      </c>
    </row>
    <row r="161" spans="1:10" x14ac:dyDescent="0.25">
      <c r="A161" t="s">
        <v>14</v>
      </c>
      <c r="B161" s="1">
        <v>45657</v>
      </c>
      <c r="C161">
        <v>15113132584</v>
      </c>
      <c r="D161">
        <v>1914494156</v>
      </c>
      <c r="E161">
        <v>43259483243</v>
      </c>
      <c r="F161">
        <v>88221659272</v>
      </c>
      <c r="G161">
        <v>44962176029</v>
      </c>
      <c r="H161">
        <v>2.1700953850000002</v>
      </c>
      <c r="I161">
        <v>4.258010455</v>
      </c>
      <c r="J161">
        <v>0.96213055199999997</v>
      </c>
    </row>
    <row r="162" spans="1:10" x14ac:dyDescent="0.25">
      <c r="A162" t="s">
        <v>15</v>
      </c>
      <c r="B162" s="1">
        <v>42825</v>
      </c>
      <c r="C162">
        <v>13951553720</v>
      </c>
      <c r="D162">
        <v>1348710564</v>
      </c>
      <c r="E162">
        <v>21828517855</v>
      </c>
      <c r="F162">
        <v>62780698314</v>
      </c>
      <c r="G162">
        <v>40952180459</v>
      </c>
      <c r="H162">
        <v>2.1482885669999998</v>
      </c>
      <c r="I162">
        <v>3.2933791289999998</v>
      </c>
      <c r="J162">
        <v>0.53302455699999995</v>
      </c>
    </row>
    <row r="163" spans="1:10" x14ac:dyDescent="0.25">
      <c r="A163" t="s">
        <v>15</v>
      </c>
      <c r="B163" s="1">
        <v>42916</v>
      </c>
      <c r="C163">
        <v>15409119271</v>
      </c>
      <c r="D163">
        <v>924345905.79999995</v>
      </c>
      <c r="E163">
        <v>44651352138</v>
      </c>
      <c r="F163">
        <v>77649206644</v>
      </c>
      <c r="G163">
        <v>32997854506</v>
      </c>
      <c r="H163">
        <v>1.1904125560000001</v>
      </c>
      <c r="I163">
        <v>2.8012303209999998</v>
      </c>
      <c r="J163">
        <v>1.353159252</v>
      </c>
    </row>
    <row r="164" spans="1:10" x14ac:dyDescent="0.25">
      <c r="A164" t="s">
        <v>15</v>
      </c>
      <c r="B164" s="1">
        <v>43008</v>
      </c>
      <c r="C164">
        <v>14110556301</v>
      </c>
      <c r="D164">
        <v>1163491999</v>
      </c>
      <c r="E164">
        <v>16591763093</v>
      </c>
      <c r="F164">
        <v>32355610354</v>
      </c>
      <c r="G164">
        <v>15763847262</v>
      </c>
      <c r="H164">
        <v>3.5959513250000001</v>
      </c>
      <c r="I164">
        <v>7.3807616879999998</v>
      </c>
      <c r="J164">
        <v>1.0525199089999999</v>
      </c>
    </row>
    <row r="165" spans="1:10" x14ac:dyDescent="0.25">
      <c r="A165" t="s">
        <v>15</v>
      </c>
      <c r="B165" s="1">
        <v>43100</v>
      </c>
      <c r="C165">
        <v>11505351408</v>
      </c>
      <c r="D165">
        <v>1425682028</v>
      </c>
      <c r="E165">
        <v>36680109736</v>
      </c>
      <c r="F165">
        <v>61941763399</v>
      </c>
      <c r="G165">
        <v>25261653663</v>
      </c>
      <c r="H165">
        <v>2.3016490809999999</v>
      </c>
      <c r="I165">
        <v>5.6436607319999998</v>
      </c>
      <c r="J165">
        <v>1.4520074670000001</v>
      </c>
    </row>
    <row r="166" spans="1:10" x14ac:dyDescent="0.25">
      <c r="A166" t="s">
        <v>15</v>
      </c>
      <c r="B166" s="1">
        <v>43190</v>
      </c>
      <c r="C166">
        <v>17427808963</v>
      </c>
      <c r="D166">
        <v>1967928248</v>
      </c>
      <c r="E166">
        <v>36127253691</v>
      </c>
      <c r="F166">
        <v>72733202053</v>
      </c>
      <c r="G166">
        <v>36605948363</v>
      </c>
      <c r="H166">
        <v>2.7056807520000001</v>
      </c>
      <c r="I166">
        <v>5.3759794149999998</v>
      </c>
      <c r="J166">
        <v>0.98692303599999998</v>
      </c>
    </row>
    <row r="167" spans="1:10" x14ac:dyDescent="0.25">
      <c r="A167" t="s">
        <v>15</v>
      </c>
      <c r="B167" s="1">
        <v>43281</v>
      </c>
      <c r="C167">
        <v>10561657912</v>
      </c>
      <c r="D167">
        <v>1025524147</v>
      </c>
      <c r="E167">
        <v>18824834094</v>
      </c>
      <c r="F167">
        <v>53785357297</v>
      </c>
      <c r="G167">
        <v>34960523204</v>
      </c>
      <c r="H167">
        <v>1.9066976550000001</v>
      </c>
      <c r="I167">
        <v>2.9333775719999999</v>
      </c>
      <c r="J167">
        <v>0.53845973599999997</v>
      </c>
    </row>
    <row r="168" spans="1:10" x14ac:dyDescent="0.25">
      <c r="A168" t="s">
        <v>15</v>
      </c>
      <c r="B168" s="1">
        <v>43373</v>
      </c>
      <c r="C168">
        <v>10796012246</v>
      </c>
      <c r="D168">
        <v>986280250.60000002</v>
      </c>
      <c r="E168">
        <v>18030445293</v>
      </c>
      <c r="F168">
        <v>66154405096</v>
      </c>
      <c r="G168">
        <v>48123959803</v>
      </c>
      <c r="H168">
        <v>1.490876154</v>
      </c>
      <c r="I168">
        <v>2.0494578059999999</v>
      </c>
      <c r="J168">
        <v>0.37466670200000002</v>
      </c>
    </row>
    <row r="169" spans="1:10" x14ac:dyDescent="0.25">
      <c r="A169" t="s">
        <v>15</v>
      </c>
      <c r="B169" s="1">
        <v>43465</v>
      </c>
      <c r="C169">
        <v>15273880507</v>
      </c>
      <c r="D169">
        <v>1698666925</v>
      </c>
      <c r="E169">
        <v>35514608139</v>
      </c>
      <c r="F169">
        <v>56589637247</v>
      </c>
      <c r="G169">
        <v>21075029108</v>
      </c>
      <c r="H169">
        <v>3.0017278919999999</v>
      </c>
      <c r="I169">
        <v>8.0600929029999993</v>
      </c>
      <c r="J169">
        <v>1.6851510839999999</v>
      </c>
    </row>
    <row r="170" spans="1:10" x14ac:dyDescent="0.25">
      <c r="A170" t="s">
        <v>15</v>
      </c>
      <c r="B170" s="1">
        <v>43555</v>
      </c>
      <c r="C170">
        <v>17933328881</v>
      </c>
      <c r="D170">
        <v>1112803764</v>
      </c>
      <c r="E170">
        <v>47538352610</v>
      </c>
      <c r="F170">
        <v>96220600130</v>
      </c>
      <c r="G170">
        <v>48682247520</v>
      </c>
      <c r="H170">
        <v>1.1565130159999999</v>
      </c>
      <c r="I170">
        <v>2.2858512520000001</v>
      </c>
      <c r="J170">
        <v>0.97650283299999996</v>
      </c>
    </row>
    <row r="171" spans="1:10" x14ac:dyDescent="0.25">
      <c r="A171" t="s">
        <v>15</v>
      </c>
      <c r="B171" s="1">
        <v>43646</v>
      </c>
      <c r="C171">
        <v>9246129285</v>
      </c>
      <c r="D171">
        <v>1035650167</v>
      </c>
      <c r="E171">
        <v>29184989731</v>
      </c>
      <c r="F171">
        <v>52641709425</v>
      </c>
      <c r="G171">
        <v>23456719694</v>
      </c>
      <c r="H171">
        <v>1.9673566419999999</v>
      </c>
      <c r="I171">
        <v>4.4151534420000003</v>
      </c>
      <c r="J171">
        <v>1.2442059299999999</v>
      </c>
    </row>
    <row r="172" spans="1:10" x14ac:dyDescent="0.25">
      <c r="A172" t="s">
        <v>15</v>
      </c>
      <c r="B172" s="1">
        <v>43738</v>
      </c>
      <c r="C172">
        <v>11461718687</v>
      </c>
      <c r="D172">
        <v>1380378045</v>
      </c>
      <c r="E172">
        <v>27344331892</v>
      </c>
      <c r="F172">
        <v>73302995160</v>
      </c>
      <c r="G172">
        <v>45958663267</v>
      </c>
      <c r="H172">
        <v>1.8831127459999999</v>
      </c>
      <c r="I172">
        <v>3.003520875</v>
      </c>
      <c r="J172">
        <v>0.59497665799999999</v>
      </c>
    </row>
    <row r="173" spans="1:10" x14ac:dyDescent="0.25">
      <c r="A173" t="s">
        <v>15</v>
      </c>
      <c r="B173" s="1">
        <v>43830</v>
      </c>
      <c r="C173">
        <v>15796654133</v>
      </c>
      <c r="D173">
        <v>805016265.79999995</v>
      </c>
      <c r="E173">
        <v>11494162751</v>
      </c>
      <c r="F173">
        <v>47776069193</v>
      </c>
      <c r="G173">
        <v>36281906442</v>
      </c>
      <c r="H173">
        <v>1.6849780219999999</v>
      </c>
      <c r="I173">
        <v>2.2187816040000001</v>
      </c>
      <c r="J173">
        <v>0.31680151000000001</v>
      </c>
    </row>
    <row r="174" spans="1:10" x14ac:dyDescent="0.25">
      <c r="A174" t="s">
        <v>15</v>
      </c>
      <c r="B174" s="1">
        <v>43921</v>
      </c>
      <c r="C174">
        <v>17673360637</v>
      </c>
      <c r="D174">
        <v>1501884164</v>
      </c>
      <c r="E174">
        <v>32122639453</v>
      </c>
      <c r="F174">
        <v>73938353262</v>
      </c>
      <c r="G174">
        <v>41815713810</v>
      </c>
      <c r="H174">
        <v>2.0312653690000002</v>
      </c>
      <c r="I174">
        <v>3.591674104</v>
      </c>
      <c r="J174">
        <v>0.76819541099999999</v>
      </c>
    </row>
    <row r="175" spans="1:10" x14ac:dyDescent="0.25">
      <c r="A175" t="s">
        <v>15</v>
      </c>
      <c r="B175" s="1">
        <v>44012</v>
      </c>
      <c r="C175">
        <v>16609605942</v>
      </c>
      <c r="D175">
        <v>2209253956</v>
      </c>
      <c r="E175">
        <v>40969123319</v>
      </c>
      <c r="F175">
        <v>78858492215</v>
      </c>
      <c r="G175">
        <v>37889368896</v>
      </c>
      <c r="H175">
        <v>2.8015422230000002</v>
      </c>
      <c r="I175">
        <v>5.830801675</v>
      </c>
      <c r="J175">
        <v>1.0812828109999999</v>
      </c>
    </row>
    <row r="176" spans="1:10" x14ac:dyDescent="0.25">
      <c r="A176" t="s">
        <v>15</v>
      </c>
      <c r="B176" s="1">
        <v>44104</v>
      </c>
      <c r="C176">
        <v>15589999588</v>
      </c>
      <c r="D176">
        <v>1310559971</v>
      </c>
      <c r="E176">
        <v>40139408421</v>
      </c>
      <c r="F176">
        <v>54633825763</v>
      </c>
      <c r="G176">
        <v>14494417343</v>
      </c>
      <c r="H176">
        <v>2.39880688</v>
      </c>
      <c r="I176">
        <v>9.0418258310000006</v>
      </c>
      <c r="J176">
        <v>2.769301274</v>
      </c>
    </row>
    <row r="177" spans="1:10" x14ac:dyDescent="0.25">
      <c r="A177" t="s">
        <v>15</v>
      </c>
      <c r="B177" s="1">
        <v>44196</v>
      </c>
      <c r="C177">
        <v>19614896783</v>
      </c>
      <c r="D177">
        <v>1231038198</v>
      </c>
      <c r="E177">
        <v>45625478678</v>
      </c>
      <c r="F177">
        <v>94598230353</v>
      </c>
      <c r="G177">
        <v>48972751675</v>
      </c>
      <c r="H177">
        <v>1.3013332209999999</v>
      </c>
      <c r="I177">
        <v>2.5137207039999998</v>
      </c>
      <c r="J177">
        <v>0.93165029799999999</v>
      </c>
    </row>
    <row r="178" spans="1:10" x14ac:dyDescent="0.25">
      <c r="A178" t="s">
        <v>15</v>
      </c>
      <c r="B178" s="1">
        <v>44286</v>
      </c>
      <c r="C178">
        <v>6356573780</v>
      </c>
      <c r="D178">
        <v>831921707.29999995</v>
      </c>
      <c r="E178">
        <v>22622163266</v>
      </c>
      <c r="F178">
        <v>70081083207</v>
      </c>
      <c r="G178">
        <v>47458919941</v>
      </c>
      <c r="H178">
        <v>1.187084544</v>
      </c>
      <c r="I178">
        <v>1.7529301310000001</v>
      </c>
      <c r="J178">
        <v>0.47666831199999998</v>
      </c>
    </row>
    <row r="179" spans="1:10" x14ac:dyDescent="0.25">
      <c r="A179" t="s">
        <v>15</v>
      </c>
      <c r="B179" s="1">
        <v>44377</v>
      </c>
      <c r="C179">
        <v>5509568002</v>
      </c>
      <c r="D179">
        <v>378951538.10000002</v>
      </c>
      <c r="E179">
        <v>36585800973</v>
      </c>
      <c r="F179">
        <v>54397521144</v>
      </c>
      <c r="G179">
        <v>17811720171</v>
      </c>
      <c r="H179">
        <v>0.69663383599999995</v>
      </c>
      <c r="I179">
        <v>2.1275403750000002</v>
      </c>
      <c r="J179">
        <v>2.054029629</v>
      </c>
    </row>
    <row r="180" spans="1:10" x14ac:dyDescent="0.25">
      <c r="A180" t="s">
        <v>15</v>
      </c>
      <c r="B180" s="1">
        <v>44469</v>
      </c>
      <c r="C180">
        <v>14468035363</v>
      </c>
      <c r="D180">
        <v>1480956904</v>
      </c>
      <c r="E180">
        <v>34748500389</v>
      </c>
      <c r="F180">
        <v>83063430789</v>
      </c>
      <c r="G180">
        <v>48314930400</v>
      </c>
      <c r="H180">
        <v>1.7829228699999999</v>
      </c>
      <c r="I180">
        <v>3.0652158489999999</v>
      </c>
      <c r="J180">
        <v>0.71920832999999995</v>
      </c>
    </row>
    <row r="181" spans="1:10" x14ac:dyDescent="0.25">
      <c r="A181" t="s">
        <v>15</v>
      </c>
      <c r="B181" s="1">
        <v>44561</v>
      </c>
      <c r="C181">
        <v>18588737724</v>
      </c>
      <c r="D181">
        <v>2116759905</v>
      </c>
      <c r="E181">
        <v>15557689149</v>
      </c>
      <c r="F181">
        <v>64787149652</v>
      </c>
      <c r="G181">
        <v>49229460503</v>
      </c>
      <c r="H181">
        <v>3.267252713</v>
      </c>
      <c r="I181">
        <v>4.2997828599999997</v>
      </c>
      <c r="J181">
        <v>0.31602396199999999</v>
      </c>
    </row>
    <row r="182" spans="1:10" x14ac:dyDescent="0.25">
      <c r="A182" t="s">
        <v>15</v>
      </c>
      <c r="B182" s="1">
        <v>44651</v>
      </c>
      <c r="C182">
        <v>6523953565</v>
      </c>
      <c r="D182">
        <v>440649540.10000002</v>
      </c>
      <c r="E182">
        <v>18792941935</v>
      </c>
      <c r="F182">
        <v>60677034815</v>
      </c>
      <c r="G182">
        <v>41884092879</v>
      </c>
      <c r="H182">
        <v>0.72622128200000002</v>
      </c>
      <c r="I182">
        <v>1.0520689590000001</v>
      </c>
      <c r="J182">
        <v>0.44868924300000002</v>
      </c>
    </row>
    <row r="183" spans="1:10" x14ac:dyDescent="0.25">
      <c r="A183" t="s">
        <v>15</v>
      </c>
      <c r="B183" s="1">
        <v>44742</v>
      </c>
      <c r="C183">
        <v>8444063288</v>
      </c>
      <c r="D183">
        <v>1187007039</v>
      </c>
      <c r="E183">
        <v>47810647914</v>
      </c>
      <c r="F183">
        <v>69756044623</v>
      </c>
      <c r="G183">
        <v>21945396709</v>
      </c>
      <c r="H183">
        <v>1.7016547390000001</v>
      </c>
      <c r="I183">
        <v>5.4089112860000004</v>
      </c>
      <c r="J183">
        <v>2.1786185300000001</v>
      </c>
    </row>
    <row r="184" spans="1:10" x14ac:dyDescent="0.25">
      <c r="A184" t="s">
        <v>15</v>
      </c>
      <c r="B184" s="1">
        <v>44834</v>
      </c>
      <c r="C184">
        <v>14873007184</v>
      </c>
      <c r="D184">
        <v>1613587509</v>
      </c>
      <c r="E184">
        <v>33957807568</v>
      </c>
      <c r="F184">
        <v>82298368793</v>
      </c>
      <c r="G184">
        <v>48340561225</v>
      </c>
      <c r="H184">
        <v>1.960655518</v>
      </c>
      <c r="I184">
        <v>3.337957748</v>
      </c>
      <c r="J184">
        <v>0.70247028</v>
      </c>
    </row>
    <row r="185" spans="1:10" x14ac:dyDescent="0.25">
      <c r="A185" t="s">
        <v>15</v>
      </c>
      <c r="B185" s="1">
        <v>44926</v>
      </c>
      <c r="C185">
        <v>9420241101</v>
      </c>
      <c r="D185">
        <v>990420474.39999998</v>
      </c>
      <c r="E185">
        <v>12931047199</v>
      </c>
      <c r="F185">
        <v>34081834188</v>
      </c>
      <c r="G185">
        <v>21150786988</v>
      </c>
      <c r="H185">
        <v>2.9060069629999998</v>
      </c>
      <c r="I185">
        <v>4.682664881</v>
      </c>
      <c r="J185">
        <v>0.61137428199999999</v>
      </c>
    </row>
    <row r="186" spans="1:10" x14ac:dyDescent="0.25">
      <c r="A186" t="s">
        <v>15</v>
      </c>
      <c r="B186" s="1">
        <v>45016</v>
      </c>
      <c r="C186">
        <v>10942719196</v>
      </c>
      <c r="D186">
        <v>1439735669</v>
      </c>
      <c r="E186">
        <v>35021279445</v>
      </c>
      <c r="F186">
        <v>51489159430</v>
      </c>
      <c r="G186">
        <v>16467879985</v>
      </c>
      <c r="H186">
        <v>2.7961918300000002</v>
      </c>
      <c r="I186">
        <v>8.742689833</v>
      </c>
      <c r="J186">
        <v>2.1266416490000002</v>
      </c>
    </row>
    <row r="187" spans="1:10" x14ac:dyDescent="0.25">
      <c r="A187" t="s">
        <v>15</v>
      </c>
      <c r="B187" s="1">
        <v>45107</v>
      </c>
      <c r="C187">
        <v>10399408221</v>
      </c>
      <c r="D187">
        <v>561732001.5</v>
      </c>
      <c r="E187">
        <v>38426371195</v>
      </c>
      <c r="F187">
        <v>68448568389</v>
      </c>
      <c r="G187">
        <v>30022197194</v>
      </c>
      <c r="H187">
        <v>0.82066289299999995</v>
      </c>
      <c r="I187">
        <v>1.871055599</v>
      </c>
      <c r="J187">
        <v>1.27993201</v>
      </c>
    </row>
    <row r="188" spans="1:10" x14ac:dyDescent="0.25">
      <c r="A188" t="s">
        <v>15</v>
      </c>
      <c r="B188" s="1">
        <v>45199</v>
      </c>
      <c r="C188">
        <v>5149849693</v>
      </c>
      <c r="D188">
        <v>750613275.10000002</v>
      </c>
      <c r="E188">
        <v>17312068995</v>
      </c>
      <c r="F188">
        <v>55772071679</v>
      </c>
      <c r="G188">
        <v>38460002684</v>
      </c>
      <c r="H188">
        <v>1.3458586930000001</v>
      </c>
      <c r="I188">
        <v>1.9516724459999999</v>
      </c>
      <c r="J188">
        <v>0.45013176799999999</v>
      </c>
    </row>
    <row r="189" spans="1:10" x14ac:dyDescent="0.25">
      <c r="A189" t="s">
        <v>15</v>
      </c>
      <c r="B189" s="1">
        <v>45291</v>
      </c>
      <c r="C189">
        <v>12752580163</v>
      </c>
      <c r="D189">
        <v>884167446.60000002</v>
      </c>
      <c r="E189">
        <v>28470052842</v>
      </c>
      <c r="F189">
        <v>53978751141</v>
      </c>
      <c r="G189">
        <v>25508698298</v>
      </c>
      <c r="H189">
        <v>1.637991669</v>
      </c>
      <c r="I189">
        <v>3.4661409860000001</v>
      </c>
      <c r="J189">
        <v>1.116091951</v>
      </c>
    </row>
    <row r="190" spans="1:10" x14ac:dyDescent="0.25">
      <c r="A190" t="s">
        <v>15</v>
      </c>
      <c r="B190" s="1">
        <v>45382</v>
      </c>
      <c r="C190">
        <v>16377852382</v>
      </c>
      <c r="D190">
        <v>1007117429</v>
      </c>
      <c r="E190">
        <v>43228375752</v>
      </c>
      <c r="F190">
        <v>78855235024</v>
      </c>
      <c r="G190">
        <v>35626859272</v>
      </c>
      <c r="H190">
        <v>1.277172567</v>
      </c>
      <c r="I190">
        <v>2.8268487590000002</v>
      </c>
      <c r="J190">
        <v>1.213364766</v>
      </c>
    </row>
    <row r="191" spans="1:10" x14ac:dyDescent="0.25">
      <c r="A191" t="s">
        <v>15</v>
      </c>
      <c r="B191" s="1">
        <v>45473</v>
      </c>
      <c r="C191">
        <v>15923641671</v>
      </c>
      <c r="D191">
        <v>1238976660</v>
      </c>
      <c r="E191">
        <v>29108930053</v>
      </c>
      <c r="F191">
        <v>40292182768</v>
      </c>
      <c r="G191">
        <v>11183252715</v>
      </c>
      <c r="H191">
        <v>3.0749802449999999</v>
      </c>
      <c r="I191">
        <v>11.078857749999999</v>
      </c>
      <c r="J191">
        <v>2.6029037160000001</v>
      </c>
    </row>
    <row r="192" spans="1:10" x14ac:dyDescent="0.25">
      <c r="A192" t="s">
        <v>15</v>
      </c>
      <c r="B192" s="1">
        <v>45565</v>
      </c>
      <c r="C192">
        <v>6531276814</v>
      </c>
      <c r="D192">
        <v>872767531.70000005</v>
      </c>
      <c r="E192">
        <v>15526905086</v>
      </c>
      <c r="F192">
        <v>49404344791</v>
      </c>
      <c r="G192">
        <v>33877439705</v>
      </c>
      <c r="H192">
        <v>1.7665805210000001</v>
      </c>
      <c r="I192">
        <v>2.576249974</v>
      </c>
      <c r="J192">
        <v>0.45832581300000003</v>
      </c>
    </row>
    <row r="193" spans="1:10" x14ac:dyDescent="0.25">
      <c r="A193" t="s">
        <v>15</v>
      </c>
      <c r="B193" s="1">
        <v>45657</v>
      </c>
      <c r="C193">
        <v>19139621006</v>
      </c>
      <c r="D193">
        <v>2834016899</v>
      </c>
      <c r="E193">
        <v>18313729720</v>
      </c>
      <c r="F193">
        <v>41643539977</v>
      </c>
      <c r="G193">
        <v>23329810257</v>
      </c>
      <c r="H193">
        <v>6.8054178409999997</v>
      </c>
      <c r="I193">
        <v>12.147620870000001</v>
      </c>
      <c r="J193">
        <v>0.78499265600000001</v>
      </c>
    </row>
    <row r="194" spans="1:10" x14ac:dyDescent="0.25">
      <c r="A194" t="s">
        <v>16</v>
      </c>
      <c r="B194" s="1">
        <v>42825</v>
      </c>
      <c r="C194">
        <v>7142318181</v>
      </c>
      <c r="D194">
        <v>980884827.39999998</v>
      </c>
      <c r="E194">
        <v>33400146455</v>
      </c>
      <c r="F194">
        <v>69867319792</v>
      </c>
      <c r="G194">
        <v>36467173338</v>
      </c>
      <c r="H194">
        <v>1.4039250830000001</v>
      </c>
      <c r="I194">
        <v>2.689774769</v>
      </c>
      <c r="J194">
        <v>0.91589622699999995</v>
      </c>
    </row>
    <row r="195" spans="1:10" x14ac:dyDescent="0.25">
      <c r="A195" t="s">
        <v>16</v>
      </c>
      <c r="B195" s="1">
        <v>42916</v>
      </c>
      <c r="C195">
        <v>10611576433</v>
      </c>
      <c r="D195">
        <v>1197653535</v>
      </c>
      <c r="E195">
        <v>31728621908</v>
      </c>
      <c r="F195">
        <v>65800353827</v>
      </c>
      <c r="G195">
        <v>34071731919</v>
      </c>
      <c r="H195">
        <v>1.8201323629999999</v>
      </c>
      <c r="I195">
        <v>3.5150943840000002</v>
      </c>
      <c r="J195">
        <v>0.93123008799999996</v>
      </c>
    </row>
    <row r="196" spans="1:10" x14ac:dyDescent="0.25">
      <c r="A196" t="s">
        <v>16</v>
      </c>
      <c r="B196" s="1">
        <v>43008</v>
      </c>
      <c r="C196">
        <v>7323507123</v>
      </c>
      <c r="D196">
        <v>793777927.10000002</v>
      </c>
      <c r="E196">
        <v>27624534772</v>
      </c>
      <c r="F196">
        <v>70422660411</v>
      </c>
      <c r="G196">
        <v>42798125639</v>
      </c>
      <c r="H196">
        <v>1.1271626530000001</v>
      </c>
      <c r="I196">
        <v>1.854702549</v>
      </c>
      <c r="J196">
        <v>0.64546132199999995</v>
      </c>
    </row>
    <row r="197" spans="1:10" x14ac:dyDescent="0.25">
      <c r="A197" t="s">
        <v>16</v>
      </c>
      <c r="B197" s="1">
        <v>43100</v>
      </c>
      <c r="C197">
        <v>17133317238</v>
      </c>
      <c r="D197">
        <v>1743084807</v>
      </c>
      <c r="E197">
        <v>19707492188</v>
      </c>
      <c r="F197">
        <v>56381587968</v>
      </c>
      <c r="G197">
        <v>36674095780</v>
      </c>
      <c r="H197">
        <v>3.0915851600000002</v>
      </c>
      <c r="I197">
        <v>4.7529046590000004</v>
      </c>
      <c r="J197">
        <v>0.53736818200000003</v>
      </c>
    </row>
    <row r="198" spans="1:10" x14ac:dyDescent="0.25">
      <c r="A198" t="s">
        <v>16</v>
      </c>
      <c r="B198" s="1">
        <v>43190</v>
      </c>
      <c r="C198">
        <v>8641226117</v>
      </c>
      <c r="D198">
        <v>983139976.89999998</v>
      </c>
      <c r="E198">
        <v>36665610699</v>
      </c>
      <c r="F198">
        <v>59016046453</v>
      </c>
      <c r="G198">
        <v>22350435755</v>
      </c>
      <c r="H198">
        <v>1.6658858670000001</v>
      </c>
      <c r="I198">
        <v>4.3987508240000004</v>
      </c>
      <c r="J198">
        <v>1.64048751</v>
      </c>
    </row>
    <row r="199" spans="1:10" x14ac:dyDescent="0.25">
      <c r="A199" t="s">
        <v>16</v>
      </c>
      <c r="B199" s="1">
        <v>43281</v>
      </c>
      <c r="C199">
        <v>18960217812</v>
      </c>
      <c r="D199">
        <v>2711256442</v>
      </c>
      <c r="E199">
        <v>20217118393</v>
      </c>
      <c r="F199">
        <v>63441922522</v>
      </c>
      <c r="G199">
        <v>43224804128</v>
      </c>
      <c r="H199">
        <v>4.2736038470000004</v>
      </c>
      <c r="I199">
        <v>6.2724551249999996</v>
      </c>
      <c r="J199">
        <v>0.467720301</v>
      </c>
    </row>
    <row r="200" spans="1:10" x14ac:dyDescent="0.25">
      <c r="A200" t="s">
        <v>16</v>
      </c>
      <c r="B200" s="1">
        <v>43373</v>
      </c>
      <c r="C200">
        <v>5152922484</v>
      </c>
      <c r="D200">
        <v>599573691.39999998</v>
      </c>
      <c r="E200">
        <v>24935989828</v>
      </c>
      <c r="F200">
        <v>36383148668</v>
      </c>
      <c r="G200">
        <v>11447158840</v>
      </c>
      <c r="H200">
        <v>1.647943384</v>
      </c>
      <c r="I200">
        <v>5.2377511290000003</v>
      </c>
      <c r="J200">
        <v>2.1783562349999999</v>
      </c>
    </row>
    <row r="201" spans="1:10" x14ac:dyDescent="0.25">
      <c r="A201" t="s">
        <v>16</v>
      </c>
      <c r="B201" s="1">
        <v>43465</v>
      </c>
      <c r="C201">
        <v>14737735881</v>
      </c>
      <c r="D201">
        <v>1726421482</v>
      </c>
      <c r="E201">
        <v>41539802392</v>
      </c>
      <c r="F201">
        <v>60496305967</v>
      </c>
      <c r="G201">
        <v>18956503575</v>
      </c>
      <c r="H201">
        <v>2.8537634729999999</v>
      </c>
      <c r="I201">
        <v>9.1072780140000003</v>
      </c>
      <c r="J201">
        <v>2.1913219509999999</v>
      </c>
    </row>
    <row r="202" spans="1:10" x14ac:dyDescent="0.25">
      <c r="A202" t="s">
        <v>16</v>
      </c>
      <c r="B202" s="1">
        <v>43555</v>
      </c>
      <c r="C202">
        <v>11018589464</v>
      </c>
      <c r="D202">
        <v>1097018126</v>
      </c>
      <c r="E202">
        <v>21597719176</v>
      </c>
      <c r="F202">
        <v>57241727973</v>
      </c>
      <c r="G202">
        <v>35644008796</v>
      </c>
      <c r="H202">
        <v>1.9164657759999999</v>
      </c>
      <c r="I202">
        <v>3.077706922</v>
      </c>
      <c r="J202">
        <v>0.60592845500000003</v>
      </c>
    </row>
    <row r="203" spans="1:10" x14ac:dyDescent="0.25">
      <c r="A203" t="s">
        <v>16</v>
      </c>
      <c r="B203" s="1">
        <v>43646</v>
      </c>
      <c r="C203">
        <v>12504841895</v>
      </c>
      <c r="D203">
        <v>639354361.79999995</v>
      </c>
      <c r="E203">
        <v>41871491156</v>
      </c>
      <c r="F203">
        <v>82039997300</v>
      </c>
      <c r="G203">
        <v>40168506143</v>
      </c>
      <c r="H203">
        <v>0.77932031099999999</v>
      </c>
      <c r="I203">
        <v>1.5916807049999999</v>
      </c>
      <c r="J203">
        <v>1.042396026</v>
      </c>
    </row>
    <row r="204" spans="1:10" x14ac:dyDescent="0.25">
      <c r="A204" t="s">
        <v>16</v>
      </c>
      <c r="B204" s="1">
        <v>43738</v>
      </c>
      <c r="C204">
        <v>9545803943</v>
      </c>
      <c r="D204">
        <v>1253796606</v>
      </c>
      <c r="E204">
        <v>34864875291</v>
      </c>
      <c r="F204">
        <v>53486270610</v>
      </c>
      <c r="G204">
        <v>18621395319</v>
      </c>
      <c r="H204">
        <v>2.3441466219999998</v>
      </c>
      <c r="I204">
        <v>6.7330969789999999</v>
      </c>
      <c r="J204">
        <v>1.8723019780000001</v>
      </c>
    </row>
    <row r="205" spans="1:10" x14ac:dyDescent="0.25">
      <c r="A205" t="s">
        <v>16</v>
      </c>
      <c r="B205" s="1">
        <v>43830</v>
      </c>
      <c r="C205">
        <v>10937481164</v>
      </c>
      <c r="D205">
        <v>1145842379</v>
      </c>
      <c r="E205">
        <v>19578678306</v>
      </c>
      <c r="F205">
        <v>31178454239</v>
      </c>
      <c r="G205">
        <v>11599775933</v>
      </c>
      <c r="H205">
        <v>3.6751096470000002</v>
      </c>
      <c r="I205">
        <v>9.8781423549999996</v>
      </c>
      <c r="J205">
        <v>1.687849698</v>
      </c>
    </row>
    <row r="206" spans="1:10" x14ac:dyDescent="0.25">
      <c r="A206" t="s">
        <v>16</v>
      </c>
      <c r="B206" s="1">
        <v>43921</v>
      </c>
      <c r="C206">
        <v>17781237366</v>
      </c>
      <c r="D206">
        <v>1179606125</v>
      </c>
      <c r="E206">
        <v>18447303156</v>
      </c>
      <c r="F206">
        <v>42728183777</v>
      </c>
      <c r="G206">
        <v>24280880621</v>
      </c>
      <c r="H206">
        <v>2.760721427</v>
      </c>
      <c r="I206">
        <v>4.8581686279999996</v>
      </c>
      <c r="J206">
        <v>0.75974605100000003</v>
      </c>
    </row>
    <row r="207" spans="1:10" x14ac:dyDescent="0.25">
      <c r="A207" t="s">
        <v>16</v>
      </c>
      <c r="B207" s="1">
        <v>44012</v>
      </c>
      <c r="C207">
        <v>14075946856</v>
      </c>
      <c r="D207">
        <v>1786382228</v>
      </c>
      <c r="E207">
        <v>42169052107</v>
      </c>
      <c r="F207">
        <v>79023797685</v>
      </c>
      <c r="G207">
        <v>36854745578</v>
      </c>
      <c r="H207">
        <v>2.2605623619999999</v>
      </c>
      <c r="I207">
        <v>4.8470887520000003</v>
      </c>
      <c r="J207">
        <v>1.1441959900000001</v>
      </c>
    </row>
    <row r="208" spans="1:10" x14ac:dyDescent="0.25">
      <c r="A208" t="s">
        <v>16</v>
      </c>
      <c r="B208" s="1">
        <v>44104</v>
      </c>
      <c r="C208">
        <v>17815073829</v>
      </c>
      <c r="D208">
        <v>1375991001</v>
      </c>
      <c r="E208">
        <v>34457237297</v>
      </c>
      <c r="F208">
        <v>48064706274</v>
      </c>
      <c r="G208">
        <v>13607468976</v>
      </c>
      <c r="H208">
        <v>2.862788745</v>
      </c>
      <c r="I208">
        <v>10.112027469999999</v>
      </c>
      <c r="J208">
        <v>2.5322297159999998</v>
      </c>
    </row>
    <row r="209" spans="1:10" x14ac:dyDescent="0.25">
      <c r="A209" t="s">
        <v>16</v>
      </c>
      <c r="B209" s="1">
        <v>44196</v>
      </c>
      <c r="C209">
        <v>8582626126</v>
      </c>
      <c r="D209">
        <v>482111535</v>
      </c>
      <c r="E209">
        <v>40109942612</v>
      </c>
      <c r="F209">
        <v>86478204177</v>
      </c>
      <c r="G209">
        <v>46368261566</v>
      </c>
      <c r="H209">
        <v>0.55749484999999999</v>
      </c>
      <c r="I209">
        <v>1.0397446850000001</v>
      </c>
      <c r="J209">
        <v>0.86503011500000004</v>
      </c>
    </row>
    <row r="210" spans="1:10" x14ac:dyDescent="0.25">
      <c r="A210" t="s">
        <v>16</v>
      </c>
      <c r="B210" s="1">
        <v>44286</v>
      </c>
      <c r="C210">
        <v>17838709007</v>
      </c>
      <c r="D210">
        <v>1559286116</v>
      </c>
      <c r="E210">
        <v>42906482998</v>
      </c>
      <c r="F210">
        <v>53748741344</v>
      </c>
      <c r="G210">
        <v>10842258346</v>
      </c>
      <c r="H210">
        <v>2.901065359</v>
      </c>
      <c r="I210">
        <v>14.381562089999999</v>
      </c>
      <c r="J210">
        <v>3.957338188</v>
      </c>
    </row>
    <row r="211" spans="1:10" x14ac:dyDescent="0.25">
      <c r="A211" t="s">
        <v>16</v>
      </c>
      <c r="B211" s="1">
        <v>44377</v>
      </c>
      <c r="C211">
        <v>15648054896</v>
      </c>
      <c r="D211">
        <v>1066739844</v>
      </c>
      <c r="E211">
        <v>40442076671</v>
      </c>
      <c r="F211">
        <v>75441053988</v>
      </c>
      <c r="G211">
        <v>34998977318</v>
      </c>
      <c r="H211">
        <v>1.4140044279999999</v>
      </c>
      <c r="I211">
        <v>3.0479171840000001</v>
      </c>
      <c r="J211">
        <v>1.1555216690000001</v>
      </c>
    </row>
    <row r="212" spans="1:10" x14ac:dyDescent="0.25">
      <c r="A212" t="s">
        <v>16</v>
      </c>
      <c r="B212" s="1">
        <v>44469</v>
      </c>
      <c r="C212">
        <v>15893645982</v>
      </c>
      <c r="D212">
        <v>2170220695</v>
      </c>
      <c r="E212">
        <v>43221215972</v>
      </c>
      <c r="F212">
        <v>62906987078</v>
      </c>
      <c r="G212">
        <v>19685771106</v>
      </c>
      <c r="H212">
        <v>3.4498881539999999</v>
      </c>
      <c r="I212">
        <v>11.02431133</v>
      </c>
      <c r="J212">
        <v>2.195556158</v>
      </c>
    </row>
    <row r="213" spans="1:10" x14ac:dyDescent="0.25">
      <c r="A213" t="s">
        <v>16</v>
      </c>
      <c r="B213" s="1">
        <v>44561</v>
      </c>
      <c r="C213">
        <v>19604996789</v>
      </c>
      <c r="D213">
        <v>2406144332</v>
      </c>
      <c r="E213">
        <v>39627936994</v>
      </c>
      <c r="F213">
        <v>77954949919</v>
      </c>
      <c r="G213">
        <v>38327012925</v>
      </c>
      <c r="H213">
        <v>3.086583128</v>
      </c>
      <c r="I213">
        <v>6.2779333629999998</v>
      </c>
      <c r="J213">
        <v>1.0339427459999999</v>
      </c>
    </row>
    <row r="214" spans="1:10" x14ac:dyDescent="0.25">
      <c r="A214" t="s">
        <v>16</v>
      </c>
      <c r="B214" s="1">
        <v>44651</v>
      </c>
      <c r="C214">
        <v>13358841713</v>
      </c>
      <c r="D214">
        <v>1013271417</v>
      </c>
      <c r="E214">
        <v>43437924866</v>
      </c>
      <c r="F214">
        <v>86840936189</v>
      </c>
      <c r="G214">
        <v>43403011323</v>
      </c>
      <c r="H214">
        <v>1.1668130969999999</v>
      </c>
      <c r="I214">
        <v>2.3345647839999999</v>
      </c>
      <c r="J214">
        <v>1.0008044039999999</v>
      </c>
    </row>
    <row r="215" spans="1:10" x14ac:dyDescent="0.25">
      <c r="A215" t="s">
        <v>16</v>
      </c>
      <c r="B215" s="1">
        <v>44742</v>
      </c>
      <c r="C215">
        <v>16579977460</v>
      </c>
      <c r="D215">
        <v>877145067</v>
      </c>
      <c r="E215">
        <v>30509379123</v>
      </c>
      <c r="F215">
        <v>76296463396</v>
      </c>
      <c r="G215">
        <v>45787084273</v>
      </c>
      <c r="H215">
        <v>1.149653638</v>
      </c>
      <c r="I215">
        <v>1.915704136</v>
      </c>
      <c r="J215">
        <v>0.66633155600000005</v>
      </c>
    </row>
    <row r="216" spans="1:10" x14ac:dyDescent="0.25">
      <c r="A216" t="s">
        <v>16</v>
      </c>
      <c r="B216" s="1">
        <v>44834</v>
      </c>
      <c r="C216">
        <v>18430272465</v>
      </c>
      <c r="D216">
        <v>1278461027</v>
      </c>
      <c r="E216">
        <v>44184049308</v>
      </c>
      <c r="F216">
        <v>54843099546</v>
      </c>
      <c r="G216">
        <v>10659050238</v>
      </c>
      <c r="H216">
        <v>2.331124677</v>
      </c>
      <c r="I216">
        <v>11.99413642</v>
      </c>
      <c r="J216">
        <v>4.1452144720000001</v>
      </c>
    </row>
    <row r="217" spans="1:10" x14ac:dyDescent="0.25">
      <c r="A217" t="s">
        <v>16</v>
      </c>
      <c r="B217" s="1">
        <v>44926</v>
      </c>
      <c r="C217">
        <v>9363037363</v>
      </c>
      <c r="D217">
        <v>704852259.10000002</v>
      </c>
      <c r="E217">
        <v>34778269496</v>
      </c>
      <c r="F217">
        <v>54701473950</v>
      </c>
      <c r="G217">
        <v>19923204453</v>
      </c>
      <c r="H217">
        <v>1.2885434490000001</v>
      </c>
      <c r="I217">
        <v>3.5378458359999998</v>
      </c>
      <c r="J217">
        <v>1.7456162529999999</v>
      </c>
    </row>
    <row r="218" spans="1:10" x14ac:dyDescent="0.25">
      <c r="A218" t="s">
        <v>16</v>
      </c>
      <c r="B218" s="1">
        <v>45016</v>
      </c>
      <c r="C218">
        <v>13197347212</v>
      </c>
      <c r="D218">
        <v>691428622</v>
      </c>
      <c r="E218">
        <v>43343894473</v>
      </c>
      <c r="F218">
        <v>57721074868</v>
      </c>
      <c r="G218">
        <v>14377180395</v>
      </c>
      <c r="H218">
        <v>1.197878979</v>
      </c>
      <c r="I218">
        <v>4.8092087809999997</v>
      </c>
      <c r="J218">
        <v>3.014770162</v>
      </c>
    </row>
    <row r="219" spans="1:10" x14ac:dyDescent="0.25">
      <c r="A219" t="s">
        <v>16</v>
      </c>
      <c r="B219" s="1">
        <v>45107</v>
      </c>
      <c r="C219">
        <v>6677625789</v>
      </c>
      <c r="D219">
        <v>440969634.69999999</v>
      </c>
      <c r="E219">
        <v>45505367856</v>
      </c>
      <c r="F219">
        <v>68668748604</v>
      </c>
      <c r="G219">
        <v>23163380748</v>
      </c>
      <c r="H219">
        <v>0.64216931799999999</v>
      </c>
      <c r="I219">
        <v>1.9037360720000001</v>
      </c>
      <c r="J219">
        <v>1.9645391299999999</v>
      </c>
    </row>
    <row r="220" spans="1:10" x14ac:dyDescent="0.25">
      <c r="A220" t="s">
        <v>16</v>
      </c>
      <c r="B220" s="1">
        <v>45199</v>
      </c>
      <c r="C220">
        <v>13104191262</v>
      </c>
      <c r="D220">
        <v>1856279741</v>
      </c>
      <c r="E220">
        <v>29165603027</v>
      </c>
      <c r="F220">
        <v>45413408789</v>
      </c>
      <c r="G220">
        <v>16247805762</v>
      </c>
      <c r="H220">
        <v>4.087514659</v>
      </c>
      <c r="I220">
        <v>11.424802639999999</v>
      </c>
      <c r="J220">
        <v>1.7950487260000001</v>
      </c>
    </row>
    <row r="221" spans="1:10" x14ac:dyDescent="0.25">
      <c r="A221" t="s">
        <v>16</v>
      </c>
      <c r="B221" s="1">
        <v>45291</v>
      </c>
      <c r="C221">
        <v>5161220914</v>
      </c>
      <c r="D221">
        <v>527374446.19999999</v>
      </c>
      <c r="E221">
        <v>15838145692</v>
      </c>
      <c r="F221">
        <v>51630867307</v>
      </c>
      <c r="G221">
        <v>35792721615</v>
      </c>
      <c r="H221">
        <v>1.021432476</v>
      </c>
      <c r="I221">
        <v>1.4734125330000001</v>
      </c>
      <c r="J221">
        <v>0.442496267</v>
      </c>
    </row>
    <row r="222" spans="1:10" x14ac:dyDescent="0.25">
      <c r="A222" t="s">
        <v>16</v>
      </c>
      <c r="B222" s="1">
        <v>45382</v>
      </c>
      <c r="C222">
        <v>17637310202</v>
      </c>
      <c r="D222">
        <v>1618745275</v>
      </c>
      <c r="E222">
        <v>24936555962</v>
      </c>
      <c r="F222">
        <v>37936073156</v>
      </c>
      <c r="G222">
        <v>12999517193</v>
      </c>
      <c r="H222">
        <v>4.267034357</v>
      </c>
      <c r="I222">
        <v>12.4523492</v>
      </c>
      <c r="J222">
        <v>1.9182678550000001</v>
      </c>
    </row>
    <row r="223" spans="1:10" x14ac:dyDescent="0.25">
      <c r="A223" t="s">
        <v>16</v>
      </c>
      <c r="B223" s="1">
        <v>45473</v>
      </c>
      <c r="C223">
        <v>9897018704</v>
      </c>
      <c r="D223">
        <v>888471372.70000005</v>
      </c>
      <c r="E223">
        <v>33856303197</v>
      </c>
      <c r="F223">
        <v>55117754937</v>
      </c>
      <c r="G223">
        <v>21261451739</v>
      </c>
      <c r="H223">
        <v>1.61195131</v>
      </c>
      <c r="I223">
        <v>4.1787897809999999</v>
      </c>
      <c r="J223">
        <v>1.5923796560000001</v>
      </c>
    </row>
    <row r="224" spans="1:10" x14ac:dyDescent="0.25">
      <c r="A224" t="s">
        <v>16</v>
      </c>
      <c r="B224" s="1">
        <v>45565</v>
      </c>
      <c r="C224">
        <v>14640665936</v>
      </c>
      <c r="D224">
        <v>2101927829</v>
      </c>
      <c r="E224">
        <v>10787737144</v>
      </c>
      <c r="F224">
        <v>51913035226</v>
      </c>
      <c r="G224">
        <v>41125298082</v>
      </c>
      <c r="H224">
        <v>4.0489403470000003</v>
      </c>
      <c r="I224">
        <v>5.1110336619999996</v>
      </c>
      <c r="J224">
        <v>0.26231389599999999</v>
      </c>
    </row>
    <row r="225" spans="1:10" x14ac:dyDescent="0.25">
      <c r="A225" t="s">
        <v>16</v>
      </c>
      <c r="B225" s="1">
        <v>45657</v>
      </c>
      <c r="C225">
        <v>16456922307</v>
      </c>
      <c r="D225">
        <v>1492220093</v>
      </c>
      <c r="E225">
        <v>48085311015</v>
      </c>
      <c r="F225">
        <v>79618978403</v>
      </c>
      <c r="G225">
        <v>31533667388</v>
      </c>
      <c r="H225">
        <v>1.874201507</v>
      </c>
      <c r="I225">
        <v>4.7321488949999999</v>
      </c>
      <c r="J225">
        <v>1.5248880010000001</v>
      </c>
    </row>
    <row r="226" spans="1:10" x14ac:dyDescent="0.25">
      <c r="A226" t="s">
        <v>17</v>
      </c>
      <c r="B226" s="1">
        <v>42825</v>
      </c>
      <c r="C226">
        <v>6568715630</v>
      </c>
      <c r="D226">
        <v>719090971.20000005</v>
      </c>
      <c r="E226">
        <v>18570025227</v>
      </c>
      <c r="F226">
        <v>65782612977</v>
      </c>
      <c r="G226">
        <v>47212587750</v>
      </c>
      <c r="H226">
        <v>1.093132271</v>
      </c>
      <c r="I226">
        <v>1.523091628</v>
      </c>
      <c r="J226">
        <v>0.39332784100000001</v>
      </c>
    </row>
    <row r="227" spans="1:10" x14ac:dyDescent="0.25">
      <c r="A227" t="s">
        <v>17</v>
      </c>
      <c r="B227" s="1">
        <v>42916</v>
      </c>
      <c r="C227">
        <v>6644029236</v>
      </c>
      <c r="D227">
        <v>744873003.70000005</v>
      </c>
      <c r="E227">
        <v>11294935497</v>
      </c>
      <c r="F227">
        <v>23437806831</v>
      </c>
      <c r="G227">
        <v>12142871334</v>
      </c>
      <c r="H227">
        <v>3.17808321</v>
      </c>
      <c r="I227">
        <v>6.1342410970000003</v>
      </c>
      <c r="J227">
        <v>0.93017007200000001</v>
      </c>
    </row>
    <row r="228" spans="1:10" x14ac:dyDescent="0.25">
      <c r="A228" t="s">
        <v>17</v>
      </c>
      <c r="B228" s="1">
        <v>43008</v>
      </c>
      <c r="C228">
        <v>18227487487</v>
      </c>
      <c r="D228">
        <v>1997618536</v>
      </c>
      <c r="E228">
        <v>40486058249</v>
      </c>
      <c r="F228">
        <v>55383211771</v>
      </c>
      <c r="G228">
        <v>14897153522</v>
      </c>
      <c r="H228">
        <v>3.6069026549999998</v>
      </c>
      <c r="I228">
        <v>13.40939753</v>
      </c>
      <c r="J228">
        <v>2.7177043040000002</v>
      </c>
    </row>
    <row r="229" spans="1:10" x14ac:dyDescent="0.25">
      <c r="A229" t="s">
        <v>17</v>
      </c>
      <c r="B229" s="1">
        <v>43100</v>
      </c>
      <c r="C229">
        <v>17560385805</v>
      </c>
      <c r="D229">
        <v>2276360916</v>
      </c>
      <c r="E229">
        <v>40828269592</v>
      </c>
      <c r="F229">
        <v>73785136305</v>
      </c>
      <c r="G229">
        <v>32956866713</v>
      </c>
      <c r="H229">
        <v>3.0851212449999998</v>
      </c>
      <c r="I229">
        <v>6.9070914290000003</v>
      </c>
      <c r="J229">
        <v>1.2388395400000001</v>
      </c>
    </row>
    <row r="230" spans="1:10" x14ac:dyDescent="0.25">
      <c r="A230" t="s">
        <v>17</v>
      </c>
      <c r="B230" s="1">
        <v>43190</v>
      </c>
      <c r="C230">
        <v>19774628627</v>
      </c>
      <c r="D230">
        <v>1421900578</v>
      </c>
      <c r="E230">
        <v>42095348780</v>
      </c>
      <c r="F230">
        <v>63447988091</v>
      </c>
      <c r="G230">
        <v>21352639311</v>
      </c>
      <c r="H230">
        <v>2.24104912</v>
      </c>
      <c r="I230">
        <v>6.6591326620000002</v>
      </c>
      <c r="J230">
        <v>1.971435389</v>
      </c>
    </row>
    <row r="231" spans="1:10" x14ac:dyDescent="0.25">
      <c r="A231" t="s">
        <v>17</v>
      </c>
      <c r="B231" s="1">
        <v>43281</v>
      </c>
      <c r="C231">
        <v>5282345417</v>
      </c>
      <c r="D231">
        <v>541864195.89999998</v>
      </c>
      <c r="E231">
        <v>34968772981</v>
      </c>
      <c r="F231">
        <v>55603015081</v>
      </c>
      <c r="G231">
        <v>20634242100</v>
      </c>
      <c r="H231">
        <v>0.97452304499999998</v>
      </c>
      <c r="I231">
        <v>2.6260436089999999</v>
      </c>
      <c r="J231">
        <v>1.694696263</v>
      </c>
    </row>
    <row r="232" spans="1:10" x14ac:dyDescent="0.25">
      <c r="A232" t="s">
        <v>17</v>
      </c>
      <c r="B232" s="1">
        <v>43373</v>
      </c>
      <c r="C232">
        <v>8133295785</v>
      </c>
      <c r="D232">
        <v>750601103.20000005</v>
      </c>
      <c r="E232">
        <v>12010781130</v>
      </c>
      <c r="F232">
        <v>31029999758</v>
      </c>
      <c r="G232">
        <v>19019218627</v>
      </c>
      <c r="H232">
        <v>2.4189529780000001</v>
      </c>
      <c r="I232">
        <v>3.94654017</v>
      </c>
      <c r="J232">
        <v>0.63150760100000003</v>
      </c>
    </row>
    <row r="233" spans="1:10" x14ac:dyDescent="0.25">
      <c r="A233" t="s">
        <v>17</v>
      </c>
      <c r="B233" s="1">
        <v>43465</v>
      </c>
      <c r="C233">
        <v>10184334320</v>
      </c>
      <c r="D233">
        <v>1365996842</v>
      </c>
      <c r="E233">
        <v>44932510908</v>
      </c>
      <c r="F233">
        <v>90595603440</v>
      </c>
      <c r="G233">
        <v>45663092533</v>
      </c>
      <c r="H233">
        <v>1.507795953</v>
      </c>
      <c r="I233">
        <v>2.9914680900000001</v>
      </c>
      <c r="J233">
        <v>0.98400061000000005</v>
      </c>
    </row>
    <row r="234" spans="1:10" x14ac:dyDescent="0.25">
      <c r="A234" t="s">
        <v>17</v>
      </c>
      <c r="B234" s="1">
        <v>43555</v>
      </c>
      <c r="C234">
        <v>18300753695</v>
      </c>
      <c r="D234">
        <v>989934361.29999995</v>
      </c>
      <c r="E234">
        <v>24181084351</v>
      </c>
      <c r="F234">
        <v>42408075770</v>
      </c>
      <c r="G234">
        <v>18226991420</v>
      </c>
      <c r="H234">
        <v>2.3343062450000001</v>
      </c>
      <c r="I234">
        <v>5.4311451540000002</v>
      </c>
      <c r="J234">
        <v>1.3266635069999999</v>
      </c>
    </row>
    <row r="235" spans="1:10" x14ac:dyDescent="0.25">
      <c r="A235" t="s">
        <v>17</v>
      </c>
      <c r="B235" s="1">
        <v>43646</v>
      </c>
      <c r="C235">
        <v>13878289168</v>
      </c>
      <c r="D235">
        <v>932271478.5</v>
      </c>
      <c r="E235">
        <v>29658734145</v>
      </c>
      <c r="F235">
        <v>62964273740</v>
      </c>
      <c r="G235">
        <v>33305539595</v>
      </c>
      <c r="H235">
        <v>1.480635642</v>
      </c>
      <c r="I235">
        <v>2.7991483989999999</v>
      </c>
      <c r="J235">
        <v>0.89050453799999996</v>
      </c>
    </row>
    <row r="236" spans="1:10" x14ac:dyDescent="0.25">
      <c r="A236" t="s">
        <v>17</v>
      </c>
      <c r="B236" s="1">
        <v>43738</v>
      </c>
      <c r="C236">
        <v>13973147193</v>
      </c>
      <c r="D236">
        <v>1079900966</v>
      </c>
      <c r="E236">
        <v>48121419304</v>
      </c>
      <c r="F236">
        <v>75654119930</v>
      </c>
      <c r="G236">
        <v>27532700626</v>
      </c>
      <c r="H236">
        <v>1.4274185829999999</v>
      </c>
      <c r="I236">
        <v>3.9222486060000001</v>
      </c>
      <c r="J236">
        <v>1.7477914699999999</v>
      </c>
    </row>
    <row r="237" spans="1:10" x14ac:dyDescent="0.25">
      <c r="A237" t="s">
        <v>17</v>
      </c>
      <c r="B237" s="1">
        <v>43830</v>
      </c>
      <c r="C237">
        <v>8046709255</v>
      </c>
      <c r="D237">
        <v>662165230.70000005</v>
      </c>
      <c r="E237">
        <v>39424977655</v>
      </c>
      <c r="F237">
        <v>89177961232</v>
      </c>
      <c r="G237">
        <v>49752983577</v>
      </c>
      <c r="H237">
        <v>0.74252115799999996</v>
      </c>
      <c r="I237">
        <v>1.330905572</v>
      </c>
      <c r="J237">
        <v>0.79241433999999999</v>
      </c>
    </row>
    <row r="238" spans="1:10" x14ac:dyDescent="0.25">
      <c r="A238" t="s">
        <v>17</v>
      </c>
      <c r="B238" s="1">
        <v>43921</v>
      </c>
      <c r="C238">
        <v>9236017256</v>
      </c>
      <c r="D238">
        <v>529982877.30000001</v>
      </c>
      <c r="E238">
        <v>48081211472</v>
      </c>
      <c r="F238">
        <v>96574017987</v>
      </c>
      <c r="G238">
        <v>48492806515</v>
      </c>
      <c r="H238">
        <v>0.54878412300000001</v>
      </c>
      <c r="I238">
        <v>1.0929103</v>
      </c>
      <c r="J238">
        <v>0.99151224500000001</v>
      </c>
    </row>
    <row r="239" spans="1:10" x14ac:dyDescent="0.25">
      <c r="A239" t="s">
        <v>17</v>
      </c>
      <c r="B239" s="1">
        <v>44012</v>
      </c>
      <c r="C239">
        <v>6413035553</v>
      </c>
      <c r="D239">
        <v>941195826.20000005</v>
      </c>
      <c r="E239">
        <v>19793091472</v>
      </c>
      <c r="F239">
        <v>35210598357</v>
      </c>
      <c r="G239">
        <v>15417506885</v>
      </c>
      <c r="H239">
        <v>2.673046952</v>
      </c>
      <c r="I239">
        <v>6.1047212960000001</v>
      </c>
      <c r="J239">
        <v>1.2838062349999999</v>
      </c>
    </row>
    <row r="240" spans="1:10" x14ac:dyDescent="0.25">
      <c r="A240" t="s">
        <v>17</v>
      </c>
      <c r="B240" s="1">
        <v>44104</v>
      </c>
      <c r="C240">
        <v>15986728775</v>
      </c>
      <c r="D240">
        <v>2071404633</v>
      </c>
      <c r="E240">
        <v>24329632573</v>
      </c>
      <c r="F240">
        <v>49270478198</v>
      </c>
      <c r="G240">
        <v>24940845625</v>
      </c>
      <c r="H240">
        <v>4.204149643</v>
      </c>
      <c r="I240">
        <v>8.3052702549999999</v>
      </c>
      <c r="J240">
        <v>0.97549349100000005</v>
      </c>
    </row>
    <row r="241" spans="1:10" x14ac:dyDescent="0.25">
      <c r="A241" t="s">
        <v>17</v>
      </c>
      <c r="B241" s="1">
        <v>44196</v>
      </c>
      <c r="C241">
        <v>9687560178</v>
      </c>
      <c r="D241">
        <v>1027662516</v>
      </c>
      <c r="E241">
        <v>40817136100</v>
      </c>
      <c r="F241">
        <v>65594337613</v>
      </c>
      <c r="G241">
        <v>24777201513</v>
      </c>
      <c r="H241">
        <v>1.566693946</v>
      </c>
      <c r="I241">
        <v>4.1476133429999997</v>
      </c>
      <c r="J241">
        <v>1.6473666760000001</v>
      </c>
    </row>
    <row r="242" spans="1:10" x14ac:dyDescent="0.25">
      <c r="A242" t="s">
        <v>17</v>
      </c>
      <c r="B242" s="1">
        <v>44286</v>
      </c>
      <c r="C242">
        <v>6588278496</v>
      </c>
      <c r="D242">
        <v>731216298.10000002</v>
      </c>
      <c r="E242">
        <v>11461577968</v>
      </c>
      <c r="F242">
        <v>53638409260</v>
      </c>
      <c r="G242">
        <v>42176831292</v>
      </c>
      <c r="H242">
        <v>1.3632326320000001</v>
      </c>
      <c r="I242">
        <v>1.733691877</v>
      </c>
      <c r="J242">
        <v>0.271750571</v>
      </c>
    </row>
    <row r="243" spans="1:10" x14ac:dyDescent="0.25">
      <c r="A243" t="s">
        <v>17</v>
      </c>
      <c r="B243" s="1">
        <v>44377</v>
      </c>
      <c r="C243">
        <v>11199189899</v>
      </c>
      <c r="D243">
        <v>719949867.5</v>
      </c>
      <c r="E243">
        <v>45007114334</v>
      </c>
      <c r="F243">
        <v>92397807990</v>
      </c>
      <c r="G243">
        <v>47390693656</v>
      </c>
      <c r="H243">
        <v>0.77918500800000001</v>
      </c>
      <c r="I243">
        <v>1.519179847</v>
      </c>
      <c r="J243">
        <v>0.94970364100000004</v>
      </c>
    </row>
    <row r="244" spans="1:10" x14ac:dyDescent="0.25">
      <c r="A244" t="s">
        <v>17</v>
      </c>
      <c r="B244" s="1">
        <v>44469</v>
      </c>
      <c r="C244">
        <v>9000667547</v>
      </c>
      <c r="D244">
        <v>1079598533</v>
      </c>
      <c r="E244">
        <v>20844606335</v>
      </c>
      <c r="F244">
        <v>48683375624</v>
      </c>
      <c r="G244">
        <v>27838769289</v>
      </c>
      <c r="H244">
        <v>2.2175917730000001</v>
      </c>
      <c r="I244">
        <v>3.8780397280000001</v>
      </c>
      <c r="J244">
        <v>0.74876177600000005</v>
      </c>
    </row>
    <row r="245" spans="1:10" x14ac:dyDescent="0.25">
      <c r="A245" t="s">
        <v>17</v>
      </c>
      <c r="B245" s="1">
        <v>44561</v>
      </c>
      <c r="C245">
        <v>12465229611</v>
      </c>
      <c r="D245">
        <v>800983300.39999998</v>
      </c>
      <c r="E245">
        <v>28257880783</v>
      </c>
      <c r="F245">
        <v>51866957482</v>
      </c>
      <c r="G245">
        <v>23609076699</v>
      </c>
      <c r="H245">
        <v>1.544303617</v>
      </c>
      <c r="I245">
        <v>3.3926921860000001</v>
      </c>
      <c r="J245">
        <v>1.196907492</v>
      </c>
    </row>
    <row r="246" spans="1:10" x14ac:dyDescent="0.25">
      <c r="A246" t="s">
        <v>17</v>
      </c>
      <c r="B246" s="1">
        <v>44651</v>
      </c>
      <c r="C246">
        <v>14896500404</v>
      </c>
      <c r="D246">
        <v>1471513321</v>
      </c>
      <c r="E246">
        <v>30918779103</v>
      </c>
      <c r="F246">
        <v>51643572423</v>
      </c>
      <c r="G246">
        <v>20724793320</v>
      </c>
      <c r="H246">
        <v>2.8493639239999999</v>
      </c>
      <c r="I246">
        <v>7.1002557120000001</v>
      </c>
      <c r="J246">
        <v>1.491873942</v>
      </c>
    </row>
    <row r="247" spans="1:10" x14ac:dyDescent="0.25">
      <c r="A247" t="s">
        <v>17</v>
      </c>
      <c r="B247" s="1">
        <v>44742</v>
      </c>
      <c r="C247">
        <v>14799049316</v>
      </c>
      <c r="D247">
        <v>1792143630</v>
      </c>
      <c r="E247">
        <v>35425741218</v>
      </c>
      <c r="F247">
        <v>52933352519</v>
      </c>
      <c r="G247">
        <v>17507611301</v>
      </c>
      <c r="H247">
        <v>3.3856605420000001</v>
      </c>
      <c r="I247">
        <v>10.23636862</v>
      </c>
      <c r="J247">
        <v>2.0234480079999999</v>
      </c>
    </row>
    <row r="248" spans="1:10" x14ac:dyDescent="0.25">
      <c r="A248" t="s">
        <v>17</v>
      </c>
      <c r="B248" s="1">
        <v>44834</v>
      </c>
      <c r="C248">
        <v>18713092617</v>
      </c>
      <c r="D248">
        <v>1701020228</v>
      </c>
      <c r="E248">
        <v>36355439326</v>
      </c>
      <c r="F248">
        <v>47077977464</v>
      </c>
      <c r="G248">
        <v>10722538138</v>
      </c>
      <c r="H248">
        <v>3.613197338</v>
      </c>
      <c r="I248">
        <v>15.86396995</v>
      </c>
      <c r="J248">
        <v>3.3905628370000001</v>
      </c>
    </row>
    <row r="249" spans="1:10" x14ac:dyDescent="0.25">
      <c r="A249" t="s">
        <v>17</v>
      </c>
      <c r="B249" s="1">
        <v>44926</v>
      </c>
      <c r="C249">
        <v>16805465254</v>
      </c>
      <c r="D249">
        <v>1837934274</v>
      </c>
      <c r="E249">
        <v>10102113588</v>
      </c>
      <c r="F249">
        <v>37939001132</v>
      </c>
      <c r="G249">
        <v>27836887544</v>
      </c>
      <c r="H249">
        <v>4.8444456090000001</v>
      </c>
      <c r="I249">
        <v>6.6025135580000001</v>
      </c>
      <c r="J249">
        <v>0.362903847</v>
      </c>
    </row>
    <row r="250" spans="1:10" x14ac:dyDescent="0.25">
      <c r="A250" t="s">
        <v>17</v>
      </c>
      <c r="B250" s="1">
        <v>45016</v>
      </c>
      <c r="C250">
        <v>14505450248</v>
      </c>
      <c r="D250">
        <v>863046066.89999998</v>
      </c>
      <c r="E250">
        <v>22921333603</v>
      </c>
      <c r="F250">
        <v>46384701674</v>
      </c>
      <c r="G250">
        <v>23463368071</v>
      </c>
      <c r="H250">
        <v>1.8606265340000001</v>
      </c>
      <c r="I250">
        <v>3.6782701630000001</v>
      </c>
      <c r="J250">
        <v>0.97689869299999998</v>
      </c>
    </row>
    <row r="251" spans="1:10" x14ac:dyDescent="0.25">
      <c r="A251" t="s">
        <v>17</v>
      </c>
      <c r="B251" s="1">
        <v>45107</v>
      </c>
      <c r="C251">
        <v>10806122549</v>
      </c>
      <c r="D251">
        <v>698788622.5</v>
      </c>
      <c r="E251">
        <v>46400326109</v>
      </c>
      <c r="F251">
        <v>56419077430</v>
      </c>
      <c r="G251">
        <v>10018751320</v>
      </c>
      <c r="H251">
        <v>1.2385679709999999</v>
      </c>
      <c r="I251">
        <v>6.9748075399999996</v>
      </c>
      <c r="J251">
        <v>4.6313482219999997</v>
      </c>
    </row>
    <row r="252" spans="1:10" x14ac:dyDescent="0.25">
      <c r="A252" t="s">
        <v>17</v>
      </c>
      <c r="B252" s="1">
        <v>45199</v>
      </c>
      <c r="C252">
        <v>17167661800</v>
      </c>
      <c r="D252">
        <v>1338393789</v>
      </c>
      <c r="E252">
        <v>26063953489</v>
      </c>
      <c r="F252">
        <v>52362126677</v>
      </c>
      <c r="G252">
        <v>26298173188</v>
      </c>
      <c r="H252">
        <v>2.5560340529999999</v>
      </c>
      <c r="I252">
        <v>5.0893032729999996</v>
      </c>
      <c r="J252">
        <v>0.99109368900000006</v>
      </c>
    </row>
    <row r="253" spans="1:10" x14ac:dyDescent="0.25">
      <c r="A253" t="s">
        <v>17</v>
      </c>
      <c r="B253" s="1">
        <v>45291</v>
      </c>
      <c r="C253">
        <v>13414872686</v>
      </c>
      <c r="D253">
        <v>1069408471</v>
      </c>
      <c r="E253">
        <v>35679098743</v>
      </c>
      <c r="F253">
        <v>80239095201</v>
      </c>
      <c r="G253">
        <v>44559996459</v>
      </c>
      <c r="H253">
        <v>1.332777331</v>
      </c>
      <c r="I253">
        <v>2.3999294350000002</v>
      </c>
      <c r="J253">
        <v>0.80069797099999995</v>
      </c>
    </row>
    <row r="254" spans="1:10" x14ac:dyDescent="0.25">
      <c r="A254" t="s">
        <v>17</v>
      </c>
      <c r="B254" s="1">
        <v>45382</v>
      </c>
      <c r="C254">
        <v>13351789947</v>
      </c>
      <c r="D254">
        <v>761306516.20000005</v>
      </c>
      <c r="E254">
        <v>45369290420</v>
      </c>
      <c r="F254">
        <v>94052696634</v>
      </c>
      <c r="G254">
        <v>48683406213</v>
      </c>
      <c r="H254">
        <v>0.80944677099999995</v>
      </c>
      <c r="I254">
        <v>1.563790571</v>
      </c>
      <c r="J254">
        <v>0.93192514599999998</v>
      </c>
    </row>
    <row r="255" spans="1:10" x14ac:dyDescent="0.25">
      <c r="A255" t="s">
        <v>17</v>
      </c>
      <c r="B255" s="1">
        <v>45473</v>
      </c>
      <c r="C255">
        <v>8144018454</v>
      </c>
      <c r="D255">
        <v>529257365.39999998</v>
      </c>
      <c r="E255">
        <v>31360696540</v>
      </c>
      <c r="F255">
        <v>57876694077</v>
      </c>
      <c r="G255">
        <v>26515997537</v>
      </c>
      <c r="H255">
        <v>0.91445680100000004</v>
      </c>
      <c r="I255">
        <v>1.995992663</v>
      </c>
      <c r="J255">
        <v>1.182708533</v>
      </c>
    </row>
    <row r="256" spans="1:10" x14ac:dyDescent="0.25">
      <c r="A256" t="s">
        <v>17</v>
      </c>
      <c r="B256" s="1">
        <v>45565</v>
      </c>
      <c r="C256">
        <v>10824151396</v>
      </c>
      <c r="D256">
        <v>830279996.20000005</v>
      </c>
      <c r="E256">
        <v>42369695133</v>
      </c>
      <c r="F256">
        <v>72342104340</v>
      </c>
      <c r="G256">
        <v>29972409208</v>
      </c>
      <c r="H256">
        <v>1.14771336</v>
      </c>
      <c r="I256">
        <v>2.7701476729999999</v>
      </c>
      <c r="J256">
        <v>1.4136232710000001</v>
      </c>
    </row>
    <row r="257" spans="1:10" x14ac:dyDescent="0.25">
      <c r="A257" t="s">
        <v>17</v>
      </c>
      <c r="B257" s="1">
        <v>45657</v>
      </c>
      <c r="C257">
        <v>16754700510</v>
      </c>
      <c r="D257">
        <v>923006607.20000005</v>
      </c>
      <c r="E257">
        <v>49206362475</v>
      </c>
      <c r="F257">
        <v>96053458782</v>
      </c>
      <c r="G257">
        <v>46847096308</v>
      </c>
      <c r="H257">
        <v>0.96093010999999995</v>
      </c>
      <c r="I257">
        <v>1.970253612</v>
      </c>
      <c r="J257">
        <v>1.0503609899999999</v>
      </c>
    </row>
    <row r="258" spans="1:10" x14ac:dyDescent="0.25">
      <c r="A258" t="s">
        <v>18</v>
      </c>
      <c r="B258" s="1">
        <v>42825</v>
      </c>
      <c r="C258">
        <v>13027840283</v>
      </c>
      <c r="D258">
        <v>1127343336</v>
      </c>
      <c r="E258">
        <v>48157761467</v>
      </c>
      <c r="F258">
        <v>85094142147</v>
      </c>
      <c r="G258">
        <v>36936380680</v>
      </c>
      <c r="H258">
        <v>1.324818968</v>
      </c>
      <c r="I258">
        <v>3.052121825</v>
      </c>
      <c r="J258">
        <v>1.3038029330000001</v>
      </c>
    </row>
    <row r="259" spans="1:10" x14ac:dyDescent="0.25">
      <c r="A259" t="s">
        <v>18</v>
      </c>
      <c r="B259" s="1">
        <v>42916</v>
      </c>
      <c r="C259">
        <v>8439918128</v>
      </c>
      <c r="D259">
        <v>854234127.5</v>
      </c>
      <c r="E259">
        <v>26356391355</v>
      </c>
      <c r="F259">
        <v>61242421820</v>
      </c>
      <c r="G259">
        <v>34886030465</v>
      </c>
      <c r="H259">
        <v>1.3948405399999999</v>
      </c>
      <c r="I259">
        <v>2.4486423820000001</v>
      </c>
      <c r="J259">
        <v>0.75549986599999996</v>
      </c>
    </row>
    <row r="260" spans="1:10" x14ac:dyDescent="0.25">
      <c r="A260" t="s">
        <v>18</v>
      </c>
      <c r="B260" s="1">
        <v>43008</v>
      </c>
      <c r="C260">
        <v>12670837136</v>
      </c>
      <c r="D260">
        <v>1282915745</v>
      </c>
      <c r="E260">
        <v>20339721000</v>
      </c>
      <c r="F260">
        <v>55136777973</v>
      </c>
      <c r="G260">
        <v>34797056973</v>
      </c>
      <c r="H260">
        <v>2.3267876570000001</v>
      </c>
      <c r="I260">
        <v>3.6868512920000001</v>
      </c>
      <c r="J260">
        <v>0.58452417400000001</v>
      </c>
    </row>
    <row r="261" spans="1:10" x14ac:dyDescent="0.25">
      <c r="A261" t="s">
        <v>18</v>
      </c>
      <c r="B261" s="1">
        <v>43100</v>
      </c>
      <c r="C261">
        <v>18251254610</v>
      </c>
      <c r="D261">
        <v>2670535587</v>
      </c>
      <c r="E261">
        <v>16524775630</v>
      </c>
      <c r="F261">
        <v>29169852309</v>
      </c>
      <c r="G261">
        <v>12645076680</v>
      </c>
      <c r="H261">
        <v>9.1551220699999991</v>
      </c>
      <c r="I261">
        <v>21.11917274</v>
      </c>
      <c r="J261">
        <v>1.30681498</v>
      </c>
    </row>
    <row r="262" spans="1:10" x14ac:dyDescent="0.25">
      <c r="A262" t="s">
        <v>18</v>
      </c>
      <c r="B262" s="1">
        <v>43190</v>
      </c>
      <c r="C262">
        <v>6560227745</v>
      </c>
      <c r="D262">
        <v>884011217.39999998</v>
      </c>
      <c r="E262">
        <v>46074070728</v>
      </c>
      <c r="F262">
        <v>59231903754</v>
      </c>
      <c r="G262">
        <v>13157833026</v>
      </c>
      <c r="H262">
        <v>1.492457884</v>
      </c>
      <c r="I262">
        <v>6.7185167630000002</v>
      </c>
      <c r="J262">
        <v>3.5016457980000002</v>
      </c>
    </row>
    <row r="263" spans="1:10" x14ac:dyDescent="0.25">
      <c r="A263" t="s">
        <v>18</v>
      </c>
      <c r="B263" s="1">
        <v>43281</v>
      </c>
      <c r="C263">
        <v>14443060707</v>
      </c>
      <c r="D263">
        <v>1684483053</v>
      </c>
      <c r="E263">
        <v>37340600075</v>
      </c>
      <c r="F263">
        <v>64364816177</v>
      </c>
      <c r="G263">
        <v>27024216101</v>
      </c>
      <c r="H263">
        <v>2.6170867150000001</v>
      </c>
      <c r="I263">
        <v>6.2332355809999997</v>
      </c>
      <c r="J263">
        <v>1.38174591</v>
      </c>
    </row>
    <row r="264" spans="1:10" x14ac:dyDescent="0.25">
      <c r="A264" t="s">
        <v>18</v>
      </c>
      <c r="B264" s="1">
        <v>43373</v>
      </c>
      <c r="C264">
        <v>8605806470</v>
      </c>
      <c r="D264">
        <v>524552249.30000001</v>
      </c>
      <c r="E264">
        <v>34919186753</v>
      </c>
      <c r="F264">
        <v>46399878511</v>
      </c>
      <c r="G264">
        <v>11480691758</v>
      </c>
      <c r="H264">
        <v>1.1305034970000001</v>
      </c>
      <c r="I264">
        <v>4.5689951469999999</v>
      </c>
      <c r="J264">
        <v>3.041557729</v>
      </c>
    </row>
    <row r="265" spans="1:10" x14ac:dyDescent="0.25">
      <c r="A265" t="s">
        <v>18</v>
      </c>
      <c r="B265" s="1">
        <v>43465</v>
      </c>
      <c r="C265">
        <v>18541451915</v>
      </c>
      <c r="D265">
        <v>2242441772</v>
      </c>
      <c r="E265">
        <v>28896911499</v>
      </c>
      <c r="F265">
        <v>58238408654</v>
      </c>
      <c r="G265">
        <v>29341497155</v>
      </c>
      <c r="H265">
        <v>3.850451659</v>
      </c>
      <c r="I265">
        <v>7.642560842</v>
      </c>
      <c r="J265">
        <v>0.984847888</v>
      </c>
    </row>
    <row r="266" spans="1:10" x14ac:dyDescent="0.25">
      <c r="A266" t="s">
        <v>18</v>
      </c>
      <c r="B266" s="1">
        <v>43555</v>
      </c>
      <c r="C266">
        <v>15790567330</v>
      </c>
      <c r="D266">
        <v>951709509</v>
      </c>
      <c r="E266">
        <v>15068249757</v>
      </c>
      <c r="F266">
        <v>54818573513</v>
      </c>
      <c r="G266">
        <v>39750323756</v>
      </c>
      <c r="H266">
        <v>1.736107761</v>
      </c>
      <c r="I266">
        <v>2.394218258</v>
      </c>
      <c r="J266">
        <v>0.37907237799999999</v>
      </c>
    </row>
    <row r="267" spans="1:10" x14ac:dyDescent="0.25">
      <c r="A267" t="s">
        <v>18</v>
      </c>
      <c r="B267" s="1">
        <v>43646</v>
      </c>
      <c r="C267">
        <v>13365845309</v>
      </c>
      <c r="D267">
        <v>1437180604</v>
      </c>
      <c r="E267">
        <v>30394456127</v>
      </c>
      <c r="F267">
        <v>61175428677</v>
      </c>
      <c r="G267">
        <v>30780972550</v>
      </c>
      <c r="H267">
        <v>2.3492775360000002</v>
      </c>
      <c r="I267">
        <v>4.6690552140000001</v>
      </c>
      <c r="J267">
        <v>0.98744300799999996</v>
      </c>
    </row>
    <row r="268" spans="1:10" x14ac:dyDescent="0.25">
      <c r="A268" t="s">
        <v>18</v>
      </c>
      <c r="B268" s="1">
        <v>43738</v>
      </c>
      <c r="C268">
        <v>11417678713</v>
      </c>
      <c r="D268">
        <v>984493632.89999998</v>
      </c>
      <c r="E268">
        <v>43202192055</v>
      </c>
      <c r="F268">
        <v>87180029468</v>
      </c>
      <c r="G268">
        <v>43977837414</v>
      </c>
      <c r="H268">
        <v>1.129265084</v>
      </c>
      <c r="I268">
        <v>2.238613108</v>
      </c>
      <c r="J268">
        <v>0.98236281299999995</v>
      </c>
    </row>
    <row r="269" spans="1:10" x14ac:dyDescent="0.25">
      <c r="A269" t="s">
        <v>18</v>
      </c>
      <c r="B269" s="1">
        <v>43830</v>
      </c>
      <c r="C269">
        <v>17402979577</v>
      </c>
      <c r="D269">
        <v>1387637302</v>
      </c>
      <c r="E269">
        <v>31887265220</v>
      </c>
      <c r="F269">
        <v>61548783018</v>
      </c>
      <c r="G269">
        <v>29661517798</v>
      </c>
      <c r="H269">
        <v>2.2545324760000001</v>
      </c>
      <c r="I269">
        <v>4.6782410499999996</v>
      </c>
      <c r="J269">
        <v>1.0750382169999999</v>
      </c>
    </row>
    <row r="270" spans="1:10" x14ac:dyDescent="0.25">
      <c r="A270" t="s">
        <v>18</v>
      </c>
      <c r="B270" s="1">
        <v>43921</v>
      </c>
      <c r="C270">
        <v>14107423353</v>
      </c>
      <c r="D270">
        <v>1367599932</v>
      </c>
      <c r="E270">
        <v>13615077246</v>
      </c>
      <c r="F270">
        <v>27849556029</v>
      </c>
      <c r="G270">
        <v>14234478784</v>
      </c>
      <c r="H270">
        <v>4.9106704969999999</v>
      </c>
      <c r="I270">
        <v>9.6076572410000001</v>
      </c>
      <c r="J270">
        <v>0.95648582900000001</v>
      </c>
    </row>
    <row r="271" spans="1:10" x14ac:dyDescent="0.25">
      <c r="A271" t="s">
        <v>18</v>
      </c>
      <c r="B271" s="1">
        <v>44012</v>
      </c>
      <c r="C271">
        <v>12664152205</v>
      </c>
      <c r="D271">
        <v>953498605.79999995</v>
      </c>
      <c r="E271">
        <v>14551986231</v>
      </c>
      <c r="F271">
        <v>38961279021</v>
      </c>
      <c r="G271">
        <v>24409292791</v>
      </c>
      <c r="H271">
        <v>2.4472980089999998</v>
      </c>
      <c r="I271">
        <v>3.9062934509999998</v>
      </c>
      <c r="J271">
        <v>0.59616582699999998</v>
      </c>
    </row>
    <row r="272" spans="1:10" x14ac:dyDescent="0.25">
      <c r="A272" t="s">
        <v>18</v>
      </c>
      <c r="B272" s="1">
        <v>44104</v>
      </c>
      <c r="C272">
        <v>7778215290</v>
      </c>
      <c r="D272">
        <v>1028179890</v>
      </c>
      <c r="E272">
        <v>32630440063</v>
      </c>
      <c r="F272">
        <v>51398528756</v>
      </c>
      <c r="G272">
        <v>18768088693</v>
      </c>
      <c r="H272">
        <v>2.0004072380000002</v>
      </c>
      <c r="I272">
        <v>5.4783409570000003</v>
      </c>
      <c r="J272">
        <v>1.7386128439999999</v>
      </c>
    </row>
    <row r="273" spans="1:10" x14ac:dyDescent="0.25">
      <c r="A273" t="s">
        <v>18</v>
      </c>
      <c r="B273" s="1">
        <v>44196</v>
      </c>
      <c r="C273">
        <v>14954913916</v>
      </c>
      <c r="D273">
        <v>1086100755</v>
      </c>
      <c r="E273">
        <v>49223539015</v>
      </c>
      <c r="F273">
        <v>87910824435</v>
      </c>
      <c r="G273">
        <v>38687285420</v>
      </c>
      <c r="H273">
        <v>1.235457365</v>
      </c>
      <c r="I273">
        <v>2.807384243</v>
      </c>
      <c r="J273">
        <v>1.2723440909999999</v>
      </c>
    </row>
    <row r="274" spans="1:10" x14ac:dyDescent="0.25">
      <c r="A274" t="s">
        <v>18</v>
      </c>
      <c r="B274" s="1">
        <v>44286</v>
      </c>
      <c r="C274">
        <v>15481381698</v>
      </c>
      <c r="D274">
        <v>1813221637</v>
      </c>
      <c r="E274">
        <v>20090535950</v>
      </c>
      <c r="F274">
        <v>39516175321</v>
      </c>
      <c r="G274">
        <v>19425639371</v>
      </c>
      <c r="H274">
        <v>4.5885555030000003</v>
      </c>
      <c r="I274">
        <v>9.3341670899999993</v>
      </c>
      <c r="J274">
        <v>1.034227784</v>
      </c>
    </row>
    <row r="275" spans="1:10" x14ac:dyDescent="0.25">
      <c r="A275" t="s">
        <v>18</v>
      </c>
      <c r="B275" s="1">
        <v>44377</v>
      </c>
      <c r="C275">
        <v>11712522838</v>
      </c>
      <c r="D275">
        <v>1191464502</v>
      </c>
      <c r="E275">
        <v>39707273398</v>
      </c>
      <c r="F275">
        <v>77463236730</v>
      </c>
      <c r="G275">
        <v>37755963332</v>
      </c>
      <c r="H275">
        <v>1.5381031730000001</v>
      </c>
      <c r="I275">
        <v>3.1556988549999998</v>
      </c>
      <c r="J275">
        <v>1.051682169</v>
      </c>
    </row>
    <row r="276" spans="1:10" x14ac:dyDescent="0.25">
      <c r="A276" t="s">
        <v>18</v>
      </c>
      <c r="B276" s="1">
        <v>44469</v>
      </c>
      <c r="C276">
        <v>13756386408</v>
      </c>
      <c r="D276">
        <v>721617987.5</v>
      </c>
      <c r="E276">
        <v>44559907041</v>
      </c>
      <c r="F276">
        <v>88194004126</v>
      </c>
      <c r="G276">
        <v>43634097086</v>
      </c>
      <c r="H276">
        <v>0.81821660600000001</v>
      </c>
      <c r="I276">
        <v>1.6537937890000001</v>
      </c>
      <c r="J276">
        <v>1.0212175800000001</v>
      </c>
    </row>
    <row r="277" spans="1:10" x14ac:dyDescent="0.25">
      <c r="A277" t="s">
        <v>18</v>
      </c>
      <c r="B277" s="1">
        <v>44561</v>
      </c>
      <c r="C277">
        <v>13009192330</v>
      </c>
      <c r="D277">
        <v>1451167596</v>
      </c>
      <c r="E277">
        <v>31049801948</v>
      </c>
      <c r="F277">
        <v>49482603845</v>
      </c>
      <c r="G277">
        <v>18432801897</v>
      </c>
      <c r="H277">
        <v>2.9326823640000002</v>
      </c>
      <c r="I277">
        <v>7.872745579</v>
      </c>
      <c r="J277">
        <v>1.684486283</v>
      </c>
    </row>
    <row r="278" spans="1:10" x14ac:dyDescent="0.25">
      <c r="A278" t="s">
        <v>18</v>
      </c>
      <c r="B278" s="1">
        <v>44651</v>
      </c>
      <c r="C278">
        <v>9090799678</v>
      </c>
      <c r="D278">
        <v>904181650.89999998</v>
      </c>
      <c r="E278">
        <v>49055627276</v>
      </c>
      <c r="F278">
        <v>76658563614</v>
      </c>
      <c r="G278">
        <v>27602936339</v>
      </c>
      <c r="H278">
        <v>1.1794920339999999</v>
      </c>
      <c r="I278">
        <v>3.2756719790000002</v>
      </c>
      <c r="J278">
        <v>1.7771887260000001</v>
      </c>
    </row>
    <row r="279" spans="1:10" x14ac:dyDescent="0.25">
      <c r="A279" t="s">
        <v>18</v>
      </c>
      <c r="B279" s="1">
        <v>44742</v>
      </c>
      <c r="C279">
        <v>7918029220</v>
      </c>
      <c r="D279">
        <v>810924591.5</v>
      </c>
      <c r="E279">
        <v>42824962792</v>
      </c>
      <c r="F279">
        <v>91140421051</v>
      </c>
      <c r="G279">
        <v>48315458259</v>
      </c>
      <c r="H279">
        <v>0.88975295700000001</v>
      </c>
      <c r="I279">
        <v>1.678395737</v>
      </c>
      <c r="J279">
        <v>0.88636151500000004</v>
      </c>
    </row>
    <row r="280" spans="1:10" x14ac:dyDescent="0.25">
      <c r="A280" t="s">
        <v>18</v>
      </c>
      <c r="B280" s="1">
        <v>44834</v>
      </c>
      <c r="C280">
        <v>10642582906</v>
      </c>
      <c r="D280">
        <v>1154447670</v>
      </c>
      <c r="E280">
        <v>44364932131</v>
      </c>
      <c r="F280">
        <v>75643621464</v>
      </c>
      <c r="G280">
        <v>31278689333</v>
      </c>
      <c r="H280">
        <v>1.5261665790000001</v>
      </c>
      <c r="I280">
        <v>3.690844131</v>
      </c>
      <c r="J280">
        <v>1.4183756759999999</v>
      </c>
    </row>
    <row r="281" spans="1:10" x14ac:dyDescent="0.25">
      <c r="A281" t="s">
        <v>18</v>
      </c>
      <c r="B281" s="1">
        <v>44926</v>
      </c>
      <c r="C281">
        <v>19647577142</v>
      </c>
      <c r="D281">
        <v>1826544478</v>
      </c>
      <c r="E281">
        <v>10046371516</v>
      </c>
      <c r="F281">
        <v>37513857859</v>
      </c>
      <c r="G281">
        <v>27467486343</v>
      </c>
      <c r="H281">
        <v>4.8689859750000002</v>
      </c>
      <c r="I281">
        <v>6.6498421260000002</v>
      </c>
      <c r="J281">
        <v>0.36575503799999998</v>
      </c>
    </row>
    <row r="282" spans="1:10" x14ac:dyDescent="0.25">
      <c r="A282" t="s">
        <v>18</v>
      </c>
      <c r="B282" s="1">
        <v>45016</v>
      </c>
      <c r="C282">
        <v>15711957620</v>
      </c>
      <c r="D282">
        <v>2201969781</v>
      </c>
      <c r="E282">
        <v>29454258021</v>
      </c>
      <c r="F282">
        <v>71356904907</v>
      </c>
      <c r="G282">
        <v>41902646886</v>
      </c>
      <c r="H282">
        <v>3.0858538260000001</v>
      </c>
      <c r="I282">
        <v>5.2549658409999997</v>
      </c>
      <c r="J282">
        <v>0.70292118100000001</v>
      </c>
    </row>
    <row r="283" spans="1:10" x14ac:dyDescent="0.25">
      <c r="A283" t="s">
        <v>18</v>
      </c>
      <c r="B283" s="1">
        <v>45107</v>
      </c>
      <c r="C283">
        <v>10038837028</v>
      </c>
      <c r="D283">
        <v>1319011419</v>
      </c>
      <c r="E283">
        <v>42095419645</v>
      </c>
      <c r="F283">
        <v>52756441711</v>
      </c>
      <c r="G283">
        <v>10661022066</v>
      </c>
      <c r="H283">
        <v>2.5001902629999999</v>
      </c>
      <c r="I283">
        <v>12.37227923</v>
      </c>
      <c r="J283">
        <v>3.9485350829999999</v>
      </c>
    </row>
    <row r="284" spans="1:10" x14ac:dyDescent="0.25">
      <c r="A284" t="s">
        <v>18</v>
      </c>
      <c r="B284" s="1">
        <v>45199</v>
      </c>
      <c r="C284">
        <v>9457609977</v>
      </c>
      <c r="D284">
        <v>1131311165</v>
      </c>
      <c r="E284">
        <v>40856047831</v>
      </c>
      <c r="F284">
        <v>77252438398</v>
      </c>
      <c r="G284">
        <v>36396390567</v>
      </c>
      <c r="H284">
        <v>1.464434247</v>
      </c>
      <c r="I284">
        <v>3.1083059259999999</v>
      </c>
      <c r="J284">
        <v>1.1225302070000001</v>
      </c>
    </row>
    <row r="285" spans="1:10" x14ac:dyDescent="0.25">
      <c r="A285" t="s">
        <v>18</v>
      </c>
      <c r="B285" s="1">
        <v>45291</v>
      </c>
      <c r="C285">
        <v>15851738346</v>
      </c>
      <c r="D285">
        <v>905684923</v>
      </c>
      <c r="E285">
        <v>42371799830</v>
      </c>
      <c r="F285">
        <v>52389418748</v>
      </c>
      <c r="G285">
        <v>10017618918</v>
      </c>
      <c r="H285">
        <v>1.7287554329999999</v>
      </c>
      <c r="I285">
        <v>9.0409201059999997</v>
      </c>
      <c r="J285">
        <v>4.22972766</v>
      </c>
    </row>
    <row r="286" spans="1:10" x14ac:dyDescent="0.25">
      <c r="A286" t="s">
        <v>18</v>
      </c>
      <c r="B286" s="1">
        <v>45382</v>
      </c>
      <c r="C286">
        <v>10194351917</v>
      </c>
      <c r="D286">
        <v>1512864021</v>
      </c>
      <c r="E286">
        <v>26311852797</v>
      </c>
      <c r="F286">
        <v>62689824382</v>
      </c>
      <c r="G286">
        <v>36377971585</v>
      </c>
      <c r="H286">
        <v>2.4132529260000002</v>
      </c>
      <c r="I286">
        <v>4.1587366059999997</v>
      </c>
      <c r="J286">
        <v>0.72329081699999997</v>
      </c>
    </row>
    <row r="287" spans="1:10" x14ac:dyDescent="0.25">
      <c r="A287" t="s">
        <v>18</v>
      </c>
      <c r="B287" s="1">
        <v>45473</v>
      </c>
      <c r="C287">
        <v>7369565272</v>
      </c>
      <c r="D287">
        <v>1064148244</v>
      </c>
      <c r="E287">
        <v>20591206981</v>
      </c>
      <c r="F287">
        <v>42904241960</v>
      </c>
      <c r="G287">
        <v>22313034979</v>
      </c>
      <c r="H287">
        <v>2.4802867850000001</v>
      </c>
      <c r="I287">
        <v>4.7691774999999996</v>
      </c>
      <c r="J287">
        <v>0.92283308799999997</v>
      </c>
    </row>
    <row r="288" spans="1:10" x14ac:dyDescent="0.25">
      <c r="A288" t="s">
        <v>18</v>
      </c>
      <c r="B288" s="1">
        <v>45565</v>
      </c>
      <c r="C288">
        <v>9332023907</v>
      </c>
      <c r="D288">
        <v>746667545.10000002</v>
      </c>
      <c r="E288">
        <v>23673143006</v>
      </c>
      <c r="F288">
        <v>42677324477</v>
      </c>
      <c r="G288">
        <v>19004181470</v>
      </c>
      <c r="H288">
        <v>1.7495650309999999</v>
      </c>
      <c r="I288">
        <v>3.928964508</v>
      </c>
      <c r="J288">
        <v>1.2456807489999999</v>
      </c>
    </row>
    <row r="289" spans="1:10" x14ac:dyDescent="0.25">
      <c r="A289" t="s">
        <v>18</v>
      </c>
      <c r="B289" s="1">
        <v>45657</v>
      </c>
      <c r="C289">
        <v>5728072323</v>
      </c>
      <c r="D289">
        <v>604515777.29999995</v>
      </c>
      <c r="E289">
        <v>34398569588</v>
      </c>
      <c r="F289">
        <v>80121015584</v>
      </c>
      <c r="G289">
        <v>45722445996</v>
      </c>
      <c r="H289">
        <v>0.75450338800000005</v>
      </c>
      <c r="I289">
        <v>1.3221422519999999</v>
      </c>
      <c r="J289">
        <v>0.75233441300000004</v>
      </c>
    </row>
    <row r="290" spans="1:10" x14ac:dyDescent="0.25">
      <c r="A290" t="s">
        <v>19</v>
      </c>
      <c r="B290" s="1">
        <v>42825</v>
      </c>
      <c r="C290">
        <v>14843015558</v>
      </c>
      <c r="D290">
        <v>1680873545</v>
      </c>
      <c r="E290">
        <v>14840428879</v>
      </c>
      <c r="F290">
        <v>46770654578</v>
      </c>
      <c r="G290">
        <v>31930225699</v>
      </c>
      <c r="H290">
        <v>3.5938636320000001</v>
      </c>
      <c r="I290">
        <v>5.2642081550000004</v>
      </c>
      <c r="J290">
        <v>0.46477682399999998</v>
      </c>
    </row>
    <row r="291" spans="1:10" x14ac:dyDescent="0.25">
      <c r="A291" t="s">
        <v>19</v>
      </c>
      <c r="B291" s="1">
        <v>42916</v>
      </c>
      <c r="C291">
        <v>19544012256</v>
      </c>
      <c r="D291">
        <v>2752792674</v>
      </c>
      <c r="E291">
        <v>13706520368</v>
      </c>
      <c r="F291">
        <v>55551723268</v>
      </c>
      <c r="G291">
        <v>41845202900</v>
      </c>
      <c r="H291">
        <v>4.9553686409999997</v>
      </c>
      <c r="I291">
        <v>6.5785143430000002</v>
      </c>
      <c r="J291">
        <v>0.32755296699999997</v>
      </c>
    </row>
    <row r="292" spans="1:10" x14ac:dyDescent="0.25">
      <c r="A292" t="s">
        <v>19</v>
      </c>
      <c r="B292" s="1">
        <v>43008</v>
      </c>
      <c r="C292">
        <v>19868905162</v>
      </c>
      <c r="D292">
        <v>1429630591</v>
      </c>
      <c r="E292">
        <v>12720436994</v>
      </c>
      <c r="F292">
        <v>42183197053</v>
      </c>
      <c r="G292">
        <v>29462760059</v>
      </c>
      <c r="H292">
        <v>3.3890996659999999</v>
      </c>
      <c r="I292">
        <v>4.8523308329999999</v>
      </c>
      <c r="J292">
        <v>0.43174627799999998</v>
      </c>
    </row>
    <row r="293" spans="1:10" x14ac:dyDescent="0.25">
      <c r="A293" t="s">
        <v>19</v>
      </c>
      <c r="B293" s="1">
        <v>43100</v>
      </c>
      <c r="C293">
        <v>9318303083</v>
      </c>
      <c r="D293">
        <v>958508333.70000005</v>
      </c>
      <c r="E293">
        <v>11123712659</v>
      </c>
      <c r="F293">
        <v>49692010679</v>
      </c>
      <c r="G293">
        <v>38568298020</v>
      </c>
      <c r="H293">
        <v>1.9288982690000001</v>
      </c>
      <c r="I293">
        <v>2.4852233130000001</v>
      </c>
      <c r="J293">
        <v>0.288415959</v>
      </c>
    </row>
    <row r="294" spans="1:10" x14ac:dyDescent="0.25">
      <c r="A294" t="s">
        <v>19</v>
      </c>
      <c r="B294" s="1">
        <v>43190</v>
      </c>
      <c r="C294">
        <v>13740924616</v>
      </c>
      <c r="D294">
        <v>1900766775</v>
      </c>
      <c r="E294">
        <v>46035800087</v>
      </c>
      <c r="F294">
        <v>57764409125</v>
      </c>
      <c r="G294">
        <v>11728609038</v>
      </c>
      <c r="H294">
        <v>3.2905500179999998</v>
      </c>
      <c r="I294">
        <v>16.20624209</v>
      </c>
      <c r="J294">
        <v>3.9250860809999999</v>
      </c>
    </row>
    <row r="295" spans="1:10" x14ac:dyDescent="0.25">
      <c r="A295" t="s">
        <v>19</v>
      </c>
      <c r="B295" s="1">
        <v>43281</v>
      </c>
      <c r="C295">
        <v>7788761208</v>
      </c>
      <c r="D295">
        <v>663079894</v>
      </c>
      <c r="E295">
        <v>30096796442</v>
      </c>
      <c r="F295">
        <v>49497014532</v>
      </c>
      <c r="G295">
        <v>19400218090</v>
      </c>
      <c r="H295">
        <v>1.3396361379999999</v>
      </c>
      <c r="I295">
        <v>3.4178991750000001</v>
      </c>
      <c r="J295">
        <v>1.5513638199999999</v>
      </c>
    </row>
    <row r="296" spans="1:10" x14ac:dyDescent="0.25">
      <c r="A296" t="s">
        <v>19</v>
      </c>
      <c r="B296" s="1">
        <v>43373</v>
      </c>
      <c r="C296">
        <v>17771922214</v>
      </c>
      <c r="D296">
        <v>1082288023</v>
      </c>
      <c r="E296">
        <v>48317236409</v>
      </c>
      <c r="F296">
        <v>88972406897</v>
      </c>
      <c r="G296">
        <v>40655170488</v>
      </c>
      <c r="H296">
        <v>1.2164310949999999</v>
      </c>
      <c r="I296">
        <v>2.6621165530000002</v>
      </c>
      <c r="J296">
        <v>1.1884647349999999</v>
      </c>
    </row>
    <row r="297" spans="1:10" x14ac:dyDescent="0.25">
      <c r="A297" t="s">
        <v>19</v>
      </c>
      <c r="B297" s="1">
        <v>43465</v>
      </c>
      <c r="C297">
        <v>8808021584</v>
      </c>
      <c r="D297">
        <v>1274941171</v>
      </c>
      <c r="E297">
        <v>36770248755</v>
      </c>
      <c r="F297">
        <v>55390246152</v>
      </c>
      <c r="G297">
        <v>18619997397</v>
      </c>
      <c r="H297">
        <v>2.3017431039999998</v>
      </c>
      <c r="I297">
        <v>6.8471608440000002</v>
      </c>
      <c r="J297">
        <v>1.97477196</v>
      </c>
    </row>
    <row r="298" spans="1:10" x14ac:dyDescent="0.25">
      <c r="A298" t="s">
        <v>19</v>
      </c>
      <c r="B298" s="1">
        <v>43555</v>
      </c>
      <c r="C298">
        <v>11192425819</v>
      </c>
      <c r="D298">
        <v>1563079220</v>
      </c>
      <c r="E298">
        <v>10546244209</v>
      </c>
      <c r="F298">
        <v>38688850201</v>
      </c>
      <c r="G298">
        <v>28142605992</v>
      </c>
      <c r="H298">
        <v>4.0401283870000002</v>
      </c>
      <c r="I298">
        <v>5.5541381640000003</v>
      </c>
      <c r="J298">
        <v>0.374742986</v>
      </c>
    </row>
    <row r="299" spans="1:10" x14ac:dyDescent="0.25">
      <c r="A299" t="s">
        <v>19</v>
      </c>
      <c r="B299" s="1">
        <v>43646</v>
      </c>
      <c r="C299">
        <v>9538166828</v>
      </c>
      <c r="D299">
        <v>766520233.89999998</v>
      </c>
      <c r="E299">
        <v>38799826104</v>
      </c>
      <c r="F299">
        <v>70810004871</v>
      </c>
      <c r="G299">
        <v>32010178767</v>
      </c>
      <c r="H299">
        <v>1.0825027270000001</v>
      </c>
      <c r="I299">
        <v>2.3946140370000002</v>
      </c>
      <c r="J299">
        <v>1.21210901</v>
      </c>
    </row>
    <row r="300" spans="1:10" x14ac:dyDescent="0.25">
      <c r="A300" t="s">
        <v>19</v>
      </c>
      <c r="B300" s="1">
        <v>43738</v>
      </c>
      <c r="C300">
        <v>6824564419</v>
      </c>
      <c r="D300">
        <v>375695945.89999998</v>
      </c>
      <c r="E300">
        <v>12634199326</v>
      </c>
      <c r="F300">
        <v>28137106192</v>
      </c>
      <c r="G300">
        <v>15502906866</v>
      </c>
      <c r="H300">
        <v>1.3352330670000001</v>
      </c>
      <c r="I300">
        <v>2.4233903300000001</v>
      </c>
      <c r="J300">
        <v>0.81495679700000001</v>
      </c>
    </row>
    <row r="301" spans="1:10" x14ac:dyDescent="0.25">
      <c r="A301" t="s">
        <v>19</v>
      </c>
      <c r="B301" s="1">
        <v>43830</v>
      </c>
      <c r="C301">
        <v>9814156310</v>
      </c>
      <c r="D301">
        <v>576451352.5</v>
      </c>
      <c r="E301">
        <v>25131659304</v>
      </c>
      <c r="F301">
        <v>46301105258</v>
      </c>
      <c r="G301">
        <v>21169445954</v>
      </c>
      <c r="H301">
        <v>1.2450055980000001</v>
      </c>
      <c r="I301">
        <v>2.723034669</v>
      </c>
      <c r="J301">
        <v>1.1871666059999999</v>
      </c>
    </row>
    <row r="302" spans="1:10" x14ac:dyDescent="0.25">
      <c r="A302" t="s">
        <v>19</v>
      </c>
      <c r="B302" s="1">
        <v>43921</v>
      </c>
      <c r="C302">
        <v>11812773682</v>
      </c>
      <c r="D302">
        <v>980285159.39999998</v>
      </c>
      <c r="E302">
        <v>44322011186</v>
      </c>
      <c r="F302">
        <v>92083567435</v>
      </c>
      <c r="G302">
        <v>47761556249</v>
      </c>
      <c r="H302">
        <v>1.064560363</v>
      </c>
      <c r="I302">
        <v>2.0524564870000002</v>
      </c>
      <c r="J302">
        <v>0.92798507100000005</v>
      </c>
    </row>
    <row r="303" spans="1:10" x14ac:dyDescent="0.25">
      <c r="A303" t="s">
        <v>19</v>
      </c>
      <c r="B303" s="1">
        <v>44012</v>
      </c>
      <c r="C303">
        <v>16087302422</v>
      </c>
      <c r="D303">
        <v>1326310547</v>
      </c>
      <c r="E303">
        <v>32589277601</v>
      </c>
      <c r="F303">
        <v>54693171121</v>
      </c>
      <c r="G303">
        <v>22103893521</v>
      </c>
      <c r="H303">
        <v>2.4250020970000001</v>
      </c>
      <c r="I303">
        <v>6.0003480629999997</v>
      </c>
      <c r="J303">
        <v>1.474368195</v>
      </c>
    </row>
    <row r="304" spans="1:10" x14ac:dyDescent="0.25">
      <c r="A304" t="s">
        <v>19</v>
      </c>
      <c r="B304" s="1">
        <v>44104</v>
      </c>
      <c r="C304">
        <v>11268644278</v>
      </c>
      <c r="D304">
        <v>1309520126</v>
      </c>
      <c r="E304">
        <v>44147215219</v>
      </c>
      <c r="F304">
        <v>66843792777</v>
      </c>
      <c r="G304">
        <v>22696577557</v>
      </c>
      <c r="H304">
        <v>1.9590751390000001</v>
      </c>
      <c r="I304">
        <v>5.7696810149999997</v>
      </c>
      <c r="J304">
        <v>1.945104503</v>
      </c>
    </row>
    <row r="305" spans="1:10" x14ac:dyDescent="0.25">
      <c r="A305" t="s">
        <v>19</v>
      </c>
      <c r="B305" s="1">
        <v>44196</v>
      </c>
      <c r="C305">
        <v>16454038855</v>
      </c>
      <c r="D305">
        <v>1761523797</v>
      </c>
      <c r="E305">
        <v>29090502114</v>
      </c>
      <c r="F305">
        <v>64555499757</v>
      </c>
      <c r="G305">
        <v>35464997643</v>
      </c>
      <c r="H305">
        <v>2.7286967080000002</v>
      </c>
      <c r="I305">
        <v>4.9669361729999997</v>
      </c>
      <c r="J305">
        <v>0.82025952499999999</v>
      </c>
    </row>
    <row r="306" spans="1:10" x14ac:dyDescent="0.25">
      <c r="A306" t="s">
        <v>19</v>
      </c>
      <c r="B306" s="1">
        <v>44286</v>
      </c>
      <c r="C306">
        <v>8720665039</v>
      </c>
      <c r="D306">
        <v>1028066418</v>
      </c>
      <c r="E306">
        <v>14173153454</v>
      </c>
      <c r="F306">
        <v>61397948008</v>
      </c>
      <c r="G306">
        <v>47224794554</v>
      </c>
      <c r="H306">
        <v>1.674431233</v>
      </c>
      <c r="I306">
        <v>2.1769632410000002</v>
      </c>
      <c r="J306">
        <v>0.30012101899999999</v>
      </c>
    </row>
    <row r="307" spans="1:10" x14ac:dyDescent="0.25">
      <c r="A307" t="s">
        <v>19</v>
      </c>
      <c r="B307" s="1">
        <v>44377</v>
      </c>
      <c r="C307">
        <v>5220250485</v>
      </c>
      <c r="D307">
        <v>460458002.10000002</v>
      </c>
      <c r="E307">
        <v>44926554184</v>
      </c>
      <c r="F307">
        <v>91889065168</v>
      </c>
      <c r="G307">
        <v>46962510984</v>
      </c>
      <c r="H307">
        <v>0.50110206400000001</v>
      </c>
      <c r="I307">
        <v>0.98047994500000002</v>
      </c>
      <c r="J307">
        <v>0.95664718999999998</v>
      </c>
    </row>
    <row r="308" spans="1:10" x14ac:dyDescent="0.25">
      <c r="A308" t="s">
        <v>19</v>
      </c>
      <c r="B308" s="1">
        <v>44469</v>
      </c>
      <c r="C308">
        <v>12533912164</v>
      </c>
      <c r="D308">
        <v>782840180.29999995</v>
      </c>
      <c r="E308">
        <v>42843256371</v>
      </c>
      <c r="F308">
        <v>86694386780</v>
      </c>
      <c r="G308">
        <v>43851130409</v>
      </c>
      <c r="H308">
        <v>0.90298831300000004</v>
      </c>
      <c r="I308">
        <v>1.7852223490000001</v>
      </c>
      <c r="J308">
        <v>0.97701600799999999</v>
      </c>
    </row>
    <row r="309" spans="1:10" x14ac:dyDescent="0.25">
      <c r="A309" t="s">
        <v>19</v>
      </c>
      <c r="B309" s="1">
        <v>44561</v>
      </c>
      <c r="C309">
        <v>10414516344</v>
      </c>
      <c r="D309">
        <v>1120888368</v>
      </c>
      <c r="E309">
        <v>33962234582</v>
      </c>
      <c r="F309">
        <v>80244374780</v>
      </c>
      <c r="G309">
        <v>46282140198</v>
      </c>
      <c r="H309">
        <v>1.396843544</v>
      </c>
      <c r="I309">
        <v>2.4218594119999999</v>
      </c>
      <c r="J309">
        <v>0.73380864499999998</v>
      </c>
    </row>
    <row r="310" spans="1:10" x14ac:dyDescent="0.25">
      <c r="A310" t="s">
        <v>19</v>
      </c>
      <c r="B310" s="1">
        <v>44651</v>
      </c>
      <c r="C310">
        <v>15495522952</v>
      </c>
      <c r="D310">
        <v>1232326295</v>
      </c>
      <c r="E310">
        <v>38566723026</v>
      </c>
      <c r="F310">
        <v>72355738353</v>
      </c>
      <c r="G310">
        <v>33789015327</v>
      </c>
      <c r="H310">
        <v>1.7031493609999999</v>
      </c>
      <c r="I310">
        <v>3.6471210639999998</v>
      </c>
      <c r="J310">
        <v>1.1413982519999999</v>
      </c>
    </row>
    <row r="311" spans="1:10" x14ac:dyDescent="0.25">
      <c r="A311" t="s">
        <v>19</v>
      </c>
      <c r="B311" s="1">
        <v>44742</v>
      </c>
      <c r="C311">
        <v>13527313706</v>
      </c>
      <c r="D311">
        <v>1369609294</v>
      </c>
      <c r="E311">
        <v>47047722396</v>
      </c>
      <c r="F311">
        <v>76309903159</v>
      </c>
      <c r="G311">
        <v>29262180763</v>
      </c>
      <c r="H311">
        <v>1.794798889</v>
      </c>
      <c r="I311">
        <v>4.6804758160000004</v>
      </c>
      <c r="J311">
        <v>1.607799596</v>
      </c>
    </row>
    <row r="312" spans="1:10" x14ac:dyDescent="0.25">
      <c r="A312" t="s">
        <v>19</v>
      </c>
      <c r="B312" s="1">
        <v>44834</v>
      </c>
      <c r="C312">
        <v>11924228778</v>
      </c>
      <c r="D312">
        <v>1074208571</v>
      </c>
      <c r="E312">
        <v>47986876748</v>
      </c>
      <c r="F312">
        <v>85149075647</v>
      </c>
      <c r="G312">
        <v>37162198900</v>
      </c>
      <c r="H312">
        <v>1.2615622230000001</v>
      </c>
      <c r="I312">
        <v>2.8905947520000002</v>
      </c>
      <c r="J312">
        <v>1.2912819520000001</v>
      </c>
    </row>
    <row r="313" spans="1:10" x14ac:dyDescent="0.25">
      <c r="A313" t="s">
        <v>19</v>
      </c>
      <c r="B313" s="1">
        <v>44926</v>
      </c>
      <c r="C313">
        <v>7252204354</v>
      </c>
      <c r="D313">
        <v>949551701.20000005</v>
      </c>
      <c r="E313">
        <v>44858188981</v>
      </c>
      <c r="F313">
        <v>86269206025</v>
      </c>
      <c r="G313">
        <v>41411017045</v>
      </c>
      <c r="H313">
        <v>1.1006844099999999</v>
      </c>
      <c r="I313">
        <v>2.2929929499999999</v>
      </c>
      <c r="J313">
        <v>1.0832428709999999</v>
      </c>
    </row>
    <row r="314" spans="1:10" x14ac:dyDescent="0.25">
      <c r="A314" t="s">
        <v>19</v>
      </c>
      <c r="B314" s="1">
        <v>45016</v>
      </c>
      <c r="C314">
        <v>7317098693</v>
      </c>
      <c r="D314">
        <v>887813882.29999995</v>
      </c>
      <c r="E314">
        <v>23138553563</v>
      </c>
      <c r="F314">
        <v>72645962598</v>
      </c>
      <c r="G314">
        <v>49507409035</v>
      </c>
      <c r="H314">
        <v>1.2221104249999999</v>
      </c>
      <c r="I314">
        <v>1.793294983</v>
      </c>
      <c r="J314">
        <v>0.46737557099999999</v>
      </c>
    </row>
    <row r="315" spans="1:10" x14ac:dyDescent="0.25">
      <c r="A315" t="s">
        <v>19</v>
      </c>
      <c r="B315" s="1">
        <v>45107</v>
      </c>
      <c r="C315">
        <v>7129233268</v>
      </c>
      <c r="D315">
        <v>804182359.39999998</v>
      </c>
      <c r="E315">
        <v>37136074738</v>
      </c>
      <c r="F315">
        <v>74971932150</v>
      </c>
      <c r="G315">
        <v>37835857412</v>
      </c>
      <c r="H315">
        <v>1.07264457</v>
      </c>
      <c r="I315">
        <v>2.1254503379999998</v>
      </c>
      <c r="J315">
        <v>0.98150477599999997</v>
      </c>
    </row>
    <row r="316" spans="1:10" x14ac:dyDescent="0.25">
      <c r="A316" t="s">
        <v>19</v>
      </c>
      <c r="B316" s="1">
        <v>45199</v>
      </c>
      <c r="C316">
        <v>17914537947</v>
      </c>
      <c r="D316">
        <v>1449472284</v>
      </c>
      <c r="E316">
        <v>20633879462</v>
      </c>
      <c r="F316">
        <v>43019367872</v>
      </c>
      <c r="G316">
        <v>22385488410</v>
      </c>
      <c r="H316">
        <v>3.3693481689999998</v>
      </c>
      <c r="I316">
        <v>6.4750532009999997</v>
      </c>
      <c r="J316">
        <v>0.92175247999999999</v>
      </c>
    </row>
    <row r="317" spans="1:10" x14ac:dyDescent="0.25">
      <c r="A317" t="s">
        <v>19</v>
      </c>
      <c r="B317" s="1">
        <v>45291</v>
      </c>
      <c r="C317">
        <v>12421650351</v>
      </c>
      <c r="D317">
        <v>967097057.5</v>
      </c>
      <c r="E317">
        <v>33786415736</v>
      </c>
      <c r="F317">
        <v>79888234351</v>
      </c>
      <c r="G317">
        <v>46101818615</v>
      </c>
      <c r="H317">
        <v>1.2105625630000001</v>
      </c>
      <c r="I317">
        <v>2.097741665</v>
      </c>
      <c r="J317">
        <v>0.73286514000000003</v>
      </c>
    </row>
    <row r="318" spans="1:10" x14ac:dyDescent="0.25">
      <c r="A318" t="s">
        <v>19</v>
      </c>
      <c r="B318" s="1">
        <v>45382</v>
      </c>
      <c r="C318">
        <v>19417487313</v>
      </c>
      <c r="D318">
        <v>2333015849</v>
      </c>
      <c r="E318">
        <v>28301209342</v>
      </c>
      <c r="F318">
        <v>55585382174</v>
      </c>
      <c r="G318">
        <v>27284172832</v>
      </c>
      <c r="H318">
        <v>4.1971751529999999</v>
      </c>
      <c r="I318">
        <v>8.5508029269999994</v>
      </c>
      <c r="J318">
        <v>1.0372756949999999</v>
      </c>
    </row>
    <row r="319" spans="1:10" x14ac:dyDescent="0.25">
      <c r="A319" t="s">
        <v>19</v>
      </c>
      <c r="B319" s="1">
        <v>45473</v>
      </c>
      <c r="C319">
        <v>9306050327</v>
      </c>
      <c r="D319">
        <v>729847876.89999998</v>
      </c>
      <c r="E319">
        <v>23854663266</v>
      </c>
      <c r="F319">
        <v>48476616703</v>
      </c>
      <c r="G319">
        <v>24621953437</v>
      </c>
      <c r="H319">
        <v>1.505566862</v>
      </c>
      <c r="I319">
        <v>2.964215974</v>
      </c>
      <c r="J319">
        <v>0.96883715299999995</v>
      </c>
    </row>
    <row r="320" spans="1:10" x14ac:dyDescent="0.25">
      <c r="A320" t="s">
        <v>19</v>
      </c>
      <c r="B320" s="1">
        <v>45565</v>
      </c>
      <c r="C320">
        <v>18549946525</v>
      </c>
      <c r="D320">
        <v>2323022170</v>
      </c>
      <c r="E320">
        <v>49199711543</v>
      </c>
      <c r="F320">
        <v>64461554635</v>
      </c>
      <c r="G320">
        <v>15261843092</v>
      </c>
      <c r="H320">
        <v>3.6037327729999999</v>
      </c>
      <c r="I320">
        <v>15.221111609999999</v>
      </c>
      <c r="J320">
        <v>3.223707074</v>
      </c>
    </row>
    <row r="321" spans="1:10" x14ac:dyDescent="0.25">
      <c r="A321" t="s">
        <v>19</v>
      </c>
      <c r="B321" s="1">
        <v>45657</v>
      </c>
      <c r="C321">
        <v>19852203756</v>
      </c>
      <c r="D321">
        <v>2223753463</v>
      </c>
      <c r="E321">
        <v>36451064643</v>
      </c>
      <c r="F321">
        <v>76222443508</v>
      </c>
      <c r="G321">
        <v>39771378864</v>
      </c>
      <c r="H321">
        <v>2.9174523419999998</v>
      </c>
      <c r="I321">
        <v>5.5913411259999997</v>
      </c>
      <c r="J321">
        <v>0.91651498300000001</v>
      </c>
    </row>
    <row r="322" spans="1:10" x14ac:dyDescent="0.25">
      <c r="A322" t="s">
        <v>20</v>
      </c>
      <c r="B322" s="1">
        <v>42825</v>
      </c>
      <c r="C322">
        <v>5883512064</v>
      </c>
      <c r="D322">
        <v>440184439.5</v>
      </c>
      <c r="E322">
        <v>47041623953</v>
      </c>
      <c r="F322">
        <v>76926443805</v>
      </c>
      <c r="G322">
        <v>29884819852</v>
      </c>
      <c r="H322">
        <v>0.57221472600000001</v>
      </c>
      <c r="I322">
        <v>1.4729365670000001</v>
      </c>
      <c r="J322">
        <v>1.5740976250000001</v>
      </c>
    </row>
    <row r="323" spans="1:10" x14ac:dyDescent="0.25">
      <c r="A323" t="s">
        <v>20</v>
      </c>
      <c r="B323" s="1">
        <v>42916</v>
      </c>
      <c r="C323">
        <v>11523447744</v>
      </c>
      <c r="D323">
        <v>1069672005</v>
      </c>
      <c r="E323">
        <v>31531931981</v>
      </c>
      <c r="F323">
        <v>51328720570</v>
      </c>
      <c r="G323">
        <v>19796788588</v>
      </c>
      <c r="H323">
        <v>2.0839638960000002</v>
      </c>
      <c r="I323">
        <v>5.403260231</v>
      </c>
      <c r="J323">
        <v>1.5927801539999999</v>
      </c>
    </row>
    <row r="324" spans="1:10" x14ac:dyDescent="0.25">
      <c r="A324" t="s">
        <v>20</v>
      </c>
      <c r="B324" s="1">
        <v>43008</v>
      </c>
      <c r="C324">
        <v>9631040999</v>
      </c>
      <c r="D324">
        <v>1113020766</v>
      </c>
      <c r="E324">
        <v>22993549681</v>
      </c>
      <c r="F324">
        <v>72046513305</v>
      </c>
      <c r="G324">
        <v>49052963625</v>
      </c>
      <c r="H324">
        <v>1.544864164</v>
      </c>
      <c r="I324">
        <v>2.2690183899999998</v>
      </c>
      <c r="J324">
        <v>0.46874944899999998</v>
      </c>
    </row>
    <row r="325" spans="1:10" x14ac:dyDescent="0.25">
      <c r="A325" t="s">
        <v>20</v>
      </c>
      <c r="B325" s="1">
        <v>43100</v>
      </c>
      <c r="C325">
        <v>12119018742</v>
      </c>
      <c r="D325">
        <v>894091080.29999995</v>
      </c>
      <c r="E325">
        <v>28361763209</v>
      </c>
      <c r="F325">
        <v>73909302825</v>
      </c>
      <c r="G325">
        <v>45547539617</v>
      </c>
      <c r="H325">
        <v>1.2097138599999999</v>
      </c>
      <c r="I325">
        <v>1.9629843629999999</v>
      </c>
      <c r="J325">
        <v>0.62268485699999998</v>
      </c>
    </row>
    <row r="326" spans="1:10" x14ac:dyDescent="0.25">
      <c r="A326" t="s">
        <v>20</v>
      </c>
      <c r="B326" s="1">
        <v>43190</v>
      </c>
      <c r="C326">
        <v>17555661518</v>
      </c>
      <c r="D326">
        <v>1335299860</v>
      </c>
      <c r="E326">
        <v>46994742351</v>
      </c>
      <c r="F326">
        <v>88007178782</v>
      </c>
      <c r="G326">
        <v>41012436432</v>
      </c>
      <c r="H326">
        <v>1.517262431</v>
      </c>
      <c r="I326">
        <v>3.255841341</v>
      </c>
      <c r="J326">
        <v>1.1458656549999999</v>
      </c>
    </row>
    <row r="327" spans="1:10" x14ac:dyDescent="0.25">
      <c r="A327" t="s">
        <v>20</v>
      </c>
      <c r="B327" s="1">
        <v>43281</v>
      </c>
      <c r="C327">
        <v>9586227654</v>
      </c>
      <c r="D327">
        <v>1382170553</v>
      </c>
      <c r="E327">
        <v>40862854527</v>
      </c>
      <c r="F327">
        <v>89907869527</v>
      </c>
      <c r="G327">
        <v>49045015000</v>
      </c>
      <c r="H327">
        <v>1.5373187690000001</v>
      </c>
      <c r="I327">
        <v>2.8181672560000002</v>
      </c>
      <c r="J327">
        <v>0.83317039500000001</v>
      </c>
    </row>
    <row r="328" spans="1:10" x14ac:dyDescent="0.25">
      <c r="A328" t="s">
        <v>20</v>
      </c>
      <c r="B328" s="1">
        <v>43373</v>
      </c>
      <c r="C328">
        <v>17963578177</v>
      </c>
      <c r="D328">
        <v>2139702451</v>
      </c>
      <c r="E328">
        <v>49106113898</v>
      </c>
      <c r="F328">
        <v>95043652065</v>
      </c>
      <c r="G328">
        <v>45937538167</v>
      </c>
      <c r="H328">
        <v>2.2512839150000001</v>
      </c>
      <c r="I328">
        <v>4.657851806</v>
      </c>
      <c r="J328">
        <v>1.068975741</v>
      </c>
    </row>
    <row r="329" spans="1:10" x14ac:dyDescent="0.25">
      <c r="A329" t="s">
        <v>20</v>
      </c>
      <c r="B329" s="1">
        <v>43465</v>
      </c>
      <c r="C329">
        <v>7955302121</v>
      </c>
      <c r="D329">
        <v>939711762.39999998</v>
      </c>
      <c r="E329">
        <v>35954156213</v>
      </c>
      <c r="F329">
        <v>65117507958</v>
      </c>
      <c r="G329">
        <v>29163351745</v>
      </c>
      <c r="H329">
        <v>1.443101543</v>
      </c>
      <c r="I329">
        <v>3.2222351210000002</v>
      </c>
      <c r="J329">
        <v>1.232854047</v>
      </c>
    </row>
    <row r="330" spans="1:10" x14ac:dyDescent="0.25">
      <c r="A330" t="s">
        <v>20</v>
      </c>
      <c r="B330" s="1">
        <v>43555</v>
      </c>
      <c r="C330">
        <v>12923331618</v>
      </c>
      <c r="D330">
        <v>1676027156</v>
      </c>
      <c r="E330">
        <v>26939537534</v>
      </c>
      <c r="F330">
        <v>57056948432</v>
      </c>
      <c r="G330">
        <v>30117410898</v>
      </c>
      <c r="H330">
        <v>2.9374637140000002</v>
      </c>
      <c r="I330">
        <v>5.5649775540000004</v>
      </c>
      <c r="J330">
        <v>0.89448384599999997</v>
      </c>
    </row>
    <row r="331" spans="1:10" x14ac:dyDescent="0.25">
      <c r="A331" t="s">
        <v>20</v>
      </c>
      <c r="B331" s="1">
        <v>43646</v>
      </c>
      <c r="C331">
        <v>16367236342</v>
      </c>
      <c r="D331">
        <v>1857704381</v>
      </c>
      <c r="E331">
        <v>11368621660</v>
      </c>
      <c r="F331">
        <v>21773242219</v>
      </c>
      <c r="G331">
        <v>10404620558</v>
      </c>
      <c r="H331">
        <v>8.5320521490000001</v>
      </c>
      <c r="I331">
        <v>17.854609589999999</v>
      </c>
      <c r="J331">
        <v>1.0926512500000001</v>
      </c>
    </row>
    <row r="332" spans="1:10" x14ac:dyDescent="0.25">
      <c r="A332" t="s">
        <v>20</v>
      </c>
      <c r="B332" s="1">
        <v>43738</v>
      </c>
      <c r="C332">
        <v>10956259576</v>
      </c>
      <c r="D332">
        <v>738896491.20000005</v>
      </c>
      <c r="E332">
        <v>30918840712</v>
      </c>
      <c r="F332">
        <v>77968242093</v>
      </c>
      <c r="G332">
        <v>47049401381</v>
      </c>
      <c r="H332">
        <v>0.94768904799999998</v>
      </c>
      <c r="I332">
        <v>1.570469484</v>
      </c>
      <c r="J332">
        <v>0.65715694199999997</v>
      </c>
    </row>
    <row r="333" spans="1:10" x14ac:dyDescent="0.25">
      <c r="A333" t="s">
        <v>20</v>
      </c>
      <c r="B333" s="1">
        <v>43830</v>
      </c>
      <c r="C333">
        <v>15806884536</v>
      </c>
      <c r="D333">
        <v>845076735.89999998</v>
      </c>
      <c r="E333">
        <v>34376508276</v>
      </c>
      <c r="F333">
        <v>55201546863</v>
      </c>
      <c r="G333">
        <v>20825038587</v>
      </c>
      <c r="H333">
        <v>1.5308932159999999</v>
      </c>
      <c r="I333">
        <v>4.0579840100000002</v>
      </c>
      <c r="J333">
        <v>1.650729632</v>
      </c>
    </row>
    <row r="334" spans="1:10" x14ac:dyDescent="0.25">
      <c r="A334" t="s">
        <v>20</v>
      </c>
      <c r="B334" s="1">
        <v>43921</v>
      </c>
      <c r="C334">
        <v>10779438774</v>
      </c>
      <c r="D334">
        <v>1358943185</v>
      </c>
      <c r="E334">
        <v>33525281805</v>
      </c>
      <c r="F334">
        <v>71745524050</v>
      </c>
      <c r="G334">
        <v>38220242245</v>
      </c>
      <c r="H334">
        <v>1.8941156299999999</v>
      </c>
      <c r="I334">
        <v>3.5555587960000001</v>
      </c>
      <c r="J334">
        <v>0.87716036900000005</v>
      </c>
    </row>
    <row r="335" spans="1:10" x14ac:dyDescent="0.25">
      <c r="A335" t="s">
        <v>20</v>
      </c>
      <c r="B335" s="1">
        <v>44012</v>
      </c>
      <c r="C335">
        <v>7764718758</v>
      </c>
      <c r="D335">
        <v>920211365.79999995</v>
      </c>
      <c r="E335">
        <v>34970670581</v>
      </c>
      <c r="F335">
        <v>72558969348</v>
      </c>
      <c r="G335">
        <v>37588298767</v>
      </c>
      <c r="H335">
        <v>1.268225519</v>
      </c>
      <c r="I335">
        <v>2.4481325200000001</v>
      </c>
      <c r="J335">
        <v>0.93036055699999998</v>
      </c>
    </row>
    <row r="336" spans="1:10" x14ac:dyDescent="0.25">
      <c r="A336" t="s">
        <v>20</v>
      </c>
      <c r="B336" s="1">
        <v>44104</v>
      </c>
      <c r="C336">
        <v>6912391322</v>
      </c>
      <c r="D336">
        <v>945409918.5</v>
      </c>
      <c r="E336">
        <v>38735572223</v>
      </c>
      <c r="F336">
        <v>68605740345</v>
      </c>
      <c r="G336">
        <v>29870168123</v>
      </c>
      <c r="H336">
        <v>1.378033257</v>
      </c>
      <c r="I336">
        <v>3.1650639350000001</v>
      </c>
      <c r="J336">
        <v>1.296797931</v>
      </c>
    </row>
    <row r="337" spans="1:10" x14ac:dyDescent="0.25">
      <c r="A337" t="s">
        <v>20</v>
      </c>
      <c r="B337" s="1">
        <v>44196</v>
      </c>
      <c r="C337">
        <v>14994514428</v>
      </c>
      <c r="D337">
        <v>1118453310</v>
      </c>
      <c r="E337">
        <v>13089516203</v>
      </c>
      <c r="F337">
        <v>26894911034</v>
      </c>
      <c r="G337">
        <v>13805394830</v>
      </c>
      <c r="H337">
        <v>4.158605723</v>
      </c>
      <c r="I337">
        <v>8.1015669829999997</v>
      </c>
      <c r="J337">
        <v>0.94814500899999998</v>
      </c>
    </row>
    <row r="338" spans="1:10" x14ac:dyDescent="0.25">
      <c r="A338" t="s">
        <v>20</v>
      </c>
      <c r="B338" s="1">
        <v>44286</v>
      </c>
      <c r="C338">
        <v>7884337935</v>
      </c>
      <c r="D338">
        <v>1152213820</v>
      </c>
      <c r="E338">
        <v>19342832660</v>
      </c>
      <c r="F338">
        <v>61176556532</v>
      </c>
      <c r="G338">
        <v>41833723872</v>
      </c>
      <c r="H338">
        <v>1.883423791</v>
      </c>
      <c r="I338">
        <v>2.7542702719999999</v>
      </c>
      <c r="J338">
        <v>0.46237415300000001</v>
      </c>
    </row>
    <row r="339" spans="1:10" x14ac:dyDescent="0.25">
      <c r="A339" t="s">
        <v>20</v>
      </c>
      <c r="B339" s="1">
        <v>44377</v>
      </c>
      <c r="C339">
        <v>12452147525</v>
      </c>
      <c r="D339">
        <v>908357933.29999995</v>
      </c>
      <c r="E339">
        <v>42131566815</v>
      </c>
      <c r="F339">
        <v>76799130880</v>
      </c>
      <c r="G339">
        <v>34667564065</v>
      </c>
      <c r="H339">
        <v>1.1827711110000001</v>
      </c>
      <c r="I339">
        <v>2.620195442</v>
      </c>
      <c r="J339">
        <v>1.2153021980000001</v>
      </c>
    </row>
    <row r="340" spans="1:10" x14ac:dyDescent="0.25">
      <c r="A340" t="s">
        <v>20</v>
      </c>
      <c r="B340" s="1">
        <v>44469</v>
      </c>
      <c r="C340">
        <v>7245971264</v>
      </c>
      <c r="D340">
        <v>1033867668</v>
      </c>
      <c r="E340">
        <v>43655777728</v>
      </c>
      <c r="F340">
        <v>59462856760</v>
      </c>
      <c r="G340">
        <v>15807079033</v>
      </c>
      <c r="H340">
        <v>1.7386781</v>
      </c>
      <c r="I340">
        <v>6.5405358309999997</v>
      </c>
      <c r="J340">
        <v>2.7617865159999999</v>
      </c>
    </row>
    <row r="341" spans="1:10" x14ac:dyDescent="0.25">
      <c r="A341" t="s">
        <v>20</v>
      </c>
      <c r="B341" s="1">
        <v>44561</v>
      </c>
      <c r="C341">
        <v>14047287806</v>
      </c>
      <c r="D341">
        <v>1489899027</v>
      </c>
      <c r="E341">
        <v>14851641486</v>
      </c>
      <c r="F341">
        <v>42561319258</v>
      </c>
      <c r="G341">
        <v>27709677772</v>
      </c>
      <c r="H341">
        <v>3.500594092</v>
      </c>
      <c r="I341">
        <v>5.3768183069999997</v>
      </c>
      <c r="J341">
        <v>0.53597308499999996</v>
      </c>
    </row>
    <row r="342" spans="1:10" x14ac:dyDescent="0.25">
      <c r="A342" t="s">
        <v>20</v>
      </c>
      <c r="B342" s="1">
        <v>44651</v>
      </c>
      <c r="C342">
        <v>10774855240</v>
      </c>
      <c r="D342">
        <v>975556879.20000005</v>
      </c>
      <c r="E342">
        <v>15417730087</v>
      </c>
      <c r="F342">
        <v>40879706571</v>
      </c>
      <c r="G342">
        <v>25461976485</v>
      </c>
      <c r="H342">
        <v>2.3864087120000002</v>
      </c>
      <c r="I342">
        <v>3.8314263620000002</v>
      </c>
      <c r="J342">
        <v>0.60551976799999996</v>
      </c>
    </row>
    <row r="343" spans="1:10" x14ac:dyDescent="0.25">
      <c r="A343" t="s">
        <v>20</v>
      </c>
      <c r="B343" s="1">
        <v>44742</v>
      </c>
      <c r="C343">
        <v>9602996001</v>
      </c>
      <c r="D343">
        <v>1224040111</v>
      </c>
      <c r="E343">
        <v>42066934650</v>
      </c>
      <c r="F343">
        <v>86789124292</v>
      </c>
      <c r="G343">
        <v>44722189642</v>
      </c>
      <c r="H343">
        <v>1.410361172</v>
      </c>
      <c r="I343">
        <v>2.736986092</v>
      </c>
      <c r="J343">
        <v>0.94062779500000004</v>
      </c>
    </row>
    <row r="344" spans="1:10" x14ac:dyDescent="0.25">
      <c r="A344" t="s">
        <v>20</v>
      </c>
      <c r="B344" s="1">
        <v>44834</v>
      </c>
      <c r="C344">
        <v>8621455856</v>
      </c>
      <c r="D344">
        <v>1229669587</v>
      </c>
      <c r="E344">
        <v>32376788972</v>
      </c>
      <c r="F344">
        <v>47679877246</v>
      </c>
      <c r="G344">
        <v>15303088274</v>
      </c>
      <c r="H344">
        <v>2.5790116470000002</v>
      </c>
      <c r="I344">
        <v>8.0354341900000001</v>
      </c>
      <c r="J344">
        <v>2.115702948</v>
      </c>
    </row>
    <row r="345" spans="1:10" x14ac:dyDescent="0.25">
      <c r="A345" t="s">
        <v>20</v>
      </c>
      <c r="B345" s="1">
        <v>44926</v>
      </c>
      <c r="C345">
        <v>5536870879</v>
      </c>
      <c r="D345">
        <v>298030924.10000002</v>
      </c>
      <c r="E345">
        <v>19445445005</v>
      </c>
      <c r="F345">
        <v>30265348449</v>
      </c>
      <c r="G345">
        <v>10819903444</v>
      </c>
      <c r="H345">
        <v>0.98472655799999997</v>
      </c>
      <c r="I345">
        <v>2.7544693499999999</v>
      </c>
      <c r="J345">
        <v>1.797192101</v>
      </c>
    </row>
    <row r="346" spans="1:10" x14ac:dyDescent="0.25">
      <c r="A346" t="s">
        <v>20</v>
      </c>
      <c r="B346" s="1">
        <v>45016</v>
      </c>
      <c r="C346">
        <v>8880891013</v>
      </c>
      <c r="D346">
        <v>668545569.70000005</v>
      </c>
      <c r="E346">
        <v>40027402595</v>
      </c>
      <c r="F346">
        <v>66992846031</v>
      </c>
      <c r="G346">
        <v>26965443436</v>
      </c>
      <c r="H346">
        <v>0.99793576399999995</v>
      </c>
      <c r="I346">
        <v>2.4792678499999998</v>
      </c>
      <c r="J346">
        <v>1.4843962310000001</v>
      </c>
    </row>
    <row r="347" spans="1:10" x14ac:dyDescent="0.25">
      <c r="A347" t="s">
        <v>20</v>
      </c>
      <c r="B347" s="1">
        <v>45107</v>
      </c>
      <c r="C347">
        <v>16477351074</v>
      </c>
      <c r="D347">
        <v>1226392611</v>
      </c>
      <c r="E347">
        <v>42857529033</v>
      </c>
      <c r="F347">
        <v>61495517042</v>
      </c>
      <c r="G347">
        <v>18637988008</v>
      </c>
      <c r="H347">
        <v>1.9942796979999999</v>
      </c>
      <c r="I347">
        <v>6.5800697530000001</v>
      </c>
      <c r="J347">
        <v>2.299471864</v>
      </c>
    </row>
    <row r="348" spans="1:10" x14ac:dyDescent="0.25">
      <c r="A348" t="s">
        <v>20</v>
      </c>
      <c r="B348" s="1">
        <v>45199</v>
      </c>
      <c r="C348">
        <v>12920254885</v>
      </c>
      <c r="D348">
        <v>1147104411</v>
      </c>
      <c r="E348">
        <v>35348848744</v>
      </c>
      <c r="F348">
        <v>85266963912</v>
      </c>
      <c r="G348">
        <v>49918115168</v>
      </c>
      <c r="H348">
        <v>1.345309318</v>
      </c>
      <c r="I348">
        <v>2.297972203</v>
      </c>
      <c r="J348">
        <v>0.70813668799999996</v>
      </c>
    </row>
    <row r="349" spans="1:10" x14ac:dyDescent="0.25">
      <c r="A349" t="s">
        <v>20</v>
      </c>
      <c r="B349" s="1">
        <v>45291</v>
      </c>
      <c r="C349">
        <v>16438581863</v>
      </c>
      <c r="D349">
        <v>1419961878</v>
      </c>
      <c r="E349">
        <v>19415830018</v>
      </c>
      <c r="F349">
        <v>36726316966</v>
      </c>
      <c r="G349">
        <v>17310486949</v>
      </c>
      <c r="H349">
        <v>3.8663334499999999</v>
      </c>
      <c r="I349">
        <v>8.2028996759999995</v>
      </c>
      <c r="J349">
        <v>1.121622406</v>
      </c>
    </row>
    <row r="350" spans="1:10" x14ac:dyDescent="0.25">
      <c r="A350" t="s">
        <v>20</v>
      </c>
      <c r="B350" s="1">
        <v>45382</v>
      </c>
      <c r="C350">
        <v>12668426079</v>
      </c>
      <c r="D350">
        <v>744579528.29999995</v>
      </c>
      <c r="E350">
        <v>33183980227</v>
      </c>
      <c r="F350">
        <v>53340703796</v>
      </c>
      <c r="G350">
        <v>20156723569</v>
      </c>
      <c r="H350">
        <v>1.395893708</v>
      </c>
      <c r="I350">
        <v>3.6939511810000001</v>
      </c>
      <c r="J350">
        <v>1.646298324</v>
      </c>
    </row>
    <row r="351" spans="1:10" x14ac:dyDescent="0.25">
      <c r="A351" t="s">
        <v>20</v>
      </c>
      <c r="B351" s="1">
        <v>45473</v>
      </c>
      <c r="C351">
        <v>16413767338</v>
      </c>
      <c r="D351">
        <v>1074145603</v>
      </c>
      <c r="E351">
        <v>25161220888</v>
      </c>
      <c r="F351">
        <v>52217608876</v>
      </c>
      <c r="G351">
        <v>27056387988</v>
      </c>
      <c r="H351">
        <v>2.057056282</v>
      </c>
      <c r="I351">
        <v>3.970025873</v>
      </c>
      <c r="J351">
        <v>0.92995491100000005</v>
      </c>
    </row>
    <row r="352" spans="1:10" x14ac:dyDescent="0.25">
      <c r="A352" t="s">
        <v>20</v>
      </c>
      <c r="B352" s="1">
        <v>45565</v>
      </c>
      <c r="C352">
        <v>15911174550</v>
      </c>
      <c r="D352">
        <v>1241693861</v>
      </c>
      <c r="E352">
        <v>36125130235</v>
      </c>
      <c r="F352">
        <v>84583217359</v>
      </c>
      <c r="G352">
        <v>48458087124</v>
      </c>
      <c r="H352">
        <v>1.4680144589999999</v>
      </c>
      <c r="I352">
        <v>2.5624079169999998</v>
      </c>
      <c r="J352">
        <v>0.745492288</v>
      </c>
    </row>
    <row r="353" spans="1:10" x14ac:dyDescent="0.25">
      <c r="A353" t="s">
        <v>20</v>
      </c>
      <c r="B353" s="1">
        <v>45657</v>
      </c>
      <c r="C353">
        <v>13056746207</v>
      </c>
      <c r="D353">
        <v>1500333956</v>
      </c>
      <c r="E353">
        <v>33698449632</v>
      </c>
      <c r="F353">
        <v>62560115073</v>
      </c>
      <c r="G353">
        <v>28861665442</v>
      </c>
      <c r="H353">
        <v>2.3982276150000001</v>
      </c>
      <c r="I353">
        <v>5.1983623699999999</v>
      </c>
      <c r="J353">
        <v>1.167585069</v>
      </c>
    </row>
    <row r="354" spans="1:10" x14ac:dyDescent="0.25">
      <c r="A354" t="s">
        <v>21</v>
      </c>
      <c r="B354" s="1">
        <v>42825</v>
      </c>
      <c r="C354">
        <v>6974057939</v>
      </c>
      <c r="D354">
        <v>389688114</v>
      </c>
      <c r="E354">
        <v>31405828053</v>
      </c>
      <c r="F354">
        <v>49969368014</v>
      </c>
      <c r="G354">
        <v>18563539961</v>
      </c>
      <c r="H354">
        <v>0.77985399700000002</v>
      </c>
      <c r="I354">
        <v>2.0992122989999999</v>
      </c>
      <c r="J354">
        <v>1.691801678</v>
      </c>
    </row>
    <row r="355" spans="1:10" x14ac:dyDescent="0.25">
      <c r="A355" t="s">
        <v>21</v>
      </c>
      <c r="B355" s="1">
        <v>42916</v>
      </c>
      <c r="C355">
        <v>11003803134</v>
      </c>
      <c r="D355">
        <v>1050945998</v>
      </c>
      <c r="E355">
        <v>30579291828</v>
      </c>
      <c r="F355">
        <v>50859030282</v>
      </c>
      <c r="G355">
        <v>20279738454</v>
      </c>
      <c r="H355">
        <v>2.0663901619999998</v>
      </c>
      <c r="I355">
        <v>5.1822463120000002</v>
      </c>
      <c r="J355">
        <v>1.507874073</v>
      </c>
    </row>
    <row r="356" spans="1:10" x14ac:dyDescent="0.25">
      <c r="A356" t="s">
        <v>21</v>
      </c>
      <c r="B356" s="1">
        <v>43008</v>
      </c>
      <c r="C356">
        <v>17552142118</v>
      </c>
      <c r="D356">
        <v>1316005049</v>
      </c>
      <c r="E356">
        <v>28846310799</v>
      </c>
      <c r="F356">
        <v>40791728305</v>
      </c>
      <c r="G356">
        <v>11945417506</v>
      </c>
      <c r="H356">
        <v>3.2261566340000001</v>
      </c>
      <c r="I356">
        <v>11.0168192</v>
      </c>
      <c r="J356">
        <v>2.4148432469999999</v>
      </c>
    </row>
    <row r="357" spans="1:10" x14ac:dyDescent="0.25">
      <c r="A357" t="s">
        <v>21</v>
      </c>
      <c r="B357" s="1">
        <v>43100</v>
      </c>
      <c r="C357">
        <v>11760953647</v>
      </c>
      <c r="D357">
        <v>812341476</v>
      </c>
      <c r="E357">
        <v>29296072481</v>
      </c>
      <c r="F357">
        <v>51828662312</v>
      </c>
      <c r="G357">
        <v>22532589831</v>
      </c>
      <c r="H357">
        <v>1.5673595259999999</v>
      </c>
      <c r="I357">
        <v>3.605184677</v>
      </c>
      <c r="J357">
        <v>1.30016446</v>
      </c>
    </row>
    <row r="358" spans="1:10" x14ac:dyDescent="0.25">
      <c r="A358" t="s">
        <v>21</v>
      </c>
      <c r="B358" s="1">
        <v>43190</v>
      </c>
      <c r="C358">
        <v>9318197850</v>
      </c>
      <c r="D358">
        <v>641817429.79999995</v>
      </c>
      <c r="E358">
        <v>48172882387</v>
      </c>
      <c r="F358">
        <v>65628926423</v>
      </c>
      <c r="G358">
        <v>17456044036</v>
      </c>
      <c r="H358">
        <v>0.97794899999999996</v>
      </c>
      <c r="I358">
        <v>3.676763352</v>
      </c>
      <c r="J358">
        <v>2.759667785</v>
      </c>
    </row>
    <row r="359" spans="1:10" x14ac:dyDescent="0.25">
      <c r="A359" t="s">
        <v>21</v>
      </c>
      <c r="B359" s="1">
        <v>43281</v>
      </c>
      <c r="C359">
        <v>7868422908</v>
      </c>
      <c r="D359">
        <v>477697388.19999999</v>
      </c>
      <c r="E359">
        <v>36789908510</v>
      </c>
      <c r="F359">
        <v>81877040048</v>
      </c>
      <c r="G359">
        <v>45087131537</v>
      </c>
      <c r="H359">
        <v>0.58343265499999997</v>
      </c>
      <c r="I359">
        <v>1.0594982909999999</v>
      </c>
      <c r="J359">
        <v>0.81597358799999997</v>
      </c>
    </row>
    <row r="360" spans="1:10" x14ac:dyDescent="0.25">
      <c r="A360" t="s">
        <v>21</v>
      </c>
      <c r="B360" s="1">
        <v>43373</v>
      </c>
      <c r="C360">
        <v>17415152986</v>
      </c>
      <c r="D360">
        <v>1617758811</v>
      </c>
      <c r="E360">
        <v>46995232198</v>
      </c>
      <c r="F360">
        <v>95054854077</v>
      </c>
      <c r="G360">
        <v>48059621879</v>
      </c>
      <c r="H360">
        <v>1.7019213019999999</v>
      </c>
      <c r="I360">
        <v>3.3661496849999999</v>
      </c>
      <c r="J360">
        <v>0.97785272499999998</v>
      </c>
    </row>
    <row r="361" spans="1:10" x14ac:dyDescent="0.25">
      <c r="A361" t="s">
        <v>21</v>
      </c>
      <c r="B361" s="1">
        <v>43465</v>
      </c>
      <c r="C361">
        <v>14241334382</v>
      </c>
      <c r="D361">
        <v>1165009578</v>
      </c>
      <c r="E361">
        <v>37401670447</v>
      </c>
      <c r="F361">
        <v>71252783664</v>
      </c>
      <c r="G361">
        <v>33851113217</v>
      </c>
      <c r="H361">
        <v>1.635037283</v>
      </c>
      <c r="I361">
        <v>3.4415694719999999</v>
      </c>
      <c r="J361">
        <v>1.1048874580000001</v>
      </c>
    </row>
    <row r="362" spans="1:10" x14ac:dyDescent="0.25">
      <c r="A362" t="s">
        <v>21</v>
      </c>
      <c r="B362" s="1">
        <v>43555</v>
      </c>
      <c r="C362">
        <v>19217681417</v>
      </c>
      <c r="D362">
        <v>2238884002</v>
      </c>
      <c r="E362">
        <v>12733925598</v>
      </c>
      <c r="F362">
        <v>36970270841</v>
      </c>
      <c r="G362">
        <v>24236345242</v>
      </c>
      <c r="H362">
        <v>6.0559037069999997</v>
      </c>
      <c r="I362">
        <v>9.2377129470000003</v>
      </c>
      <c r="J362">
        <v>0.52540618100000003</v>
      </c>
    </row>
    <row r="363" spans="1:10" x14ac:dyDescent="0.25">
      <c r="A363" t="s">
        <v>21</v>
      </c>
      <c r="B363" s="1">
        <v>43646</v>
      </c>
      <c r="C363">
        <v>16209619277</v>
      </c>
      <c r="D363">
        <v>1894725317</v>
      </c>
      <c r="E363">
        <v>17305347324</v>
      </c>
      <c r="F363">
        <v>45432894647</v>
      </c>
      <c r="G363">
        <v>28127547323</v>
      </c>
      <c r="H363">
        <v>4.1703821239999996</v>
      </c>
      <c r="I363">
        <v>6.7361910199999997</v>
      </c>
      <c r="J363">
        <v>0.61524551400000005</v>
      </c>
    </row>
    <row r="364" spans="1:10" x14ac:dyDescent="0.25">
      <c r="A364" t="s">
        <v>21</v>
      </c>
      <c r="B364" s="1">
        <v>43738</v>
      </c>
      <c r="C364">
        <v>12097020632</v>
      </c>
      <c r="D364">
        <v>1236164244</v>
      </c>
      <c r="E364">
        <v>27900854055</v>
      </c>
      <c r="F364">
        <v>42173393478</v>
      </c>
      <c r="G364">
        <v>14272539423</v>
      </c>
      <c r="H364">
        <v>2.9311472049999998</v>
      </c>
      <c r="I364">
        <v>8.6611373589999996</v>
      </c>
      <c r="J364">
        <v>1.954862637</v>
      </c>
    </row>
    <row r="365" spans="1:10" x14ac:dyDescent="0.25">
      <c r="A365" t="s">
        <v>21</v>
      </c>
      <c r="B365" s="1">
        <v>43830</v>
      </c>
      <c r="C365">
        <v>17666094987</v>
      </c>
      <c r="D365">
        <v>1547381835</v>
      </c>
      <c r="E365">
        <v>47717175754</v>
      </c>
      <c r="F365">
        <v>76466035769</v>
      </c>
      <c r="G365">
        <v>28748860015</v>
      </c>
      <c r="H365">
        <v>2.0236197929999999</v>
      </c>
      <c r="I365">
        <v>5.3824111090000004</v>
      </c>
      <c r="J365">
        <v>1.6597936659999999</v>
      </c>
    </row>
    <row r="366" spans="1:10" x14ac:dyDescent="0.25">
      <c r="A366" t="s">
        <v>21</v>
      </c>
      <c r="B366" s="1">
        <v>43921</v>
      </c>
      <c r="C366">
        <v>15236467952</v>
      </c>
      <c r="D366">
        <v>894574066</v>
      </c>
      <c r="E366">
        <v>36909348765</v>
      </c>
      <c r="F366">
        <v>72030787429</v>
      </c>
      <c r="G366">
        <v>35121438664</v>
      </c>
      <c r="H366">
        <v>1.241932926</v>
      </c>
      <c r="I366">
        <v>2.5470883309999999</v>
      </c>
      <c r="J366">
        <v>1.050906517</v>
      </c>
    </row>
    <row r="367" spans="1:10" x14ac:dyDescent="0.25">
      <c r="A367" t="s">
        <v>21</v>
      </c>
      <c r="B367" s="1">
        <v>44012</v>
      </c>
      <c r="C367">
        <v>17048403140</v>
      </c>
      <c r="D367">
        <v>1779998241</v>
      </c>
      <c r="E367">
        <v>31894204894</v>
      </c>
      <c r="F367">
        <v>69469086501</v>
      </c>
      <c r="G367">
        <v>37574881608</v>
      </c>
      <c r="H367">
        <v>2.562288251</v>
      </c>
      <c r="I367">
        <v>4.7372025280000001</v>
      </c>
      <c r="J367">
        <v>0.84881717599999995</v>
      </c>
    </row>
    <row r="368" spans="1:10" x14ac:dyDescent="0.25">
      <c r="A368" t="s">
        <v>21</v>
      </c>
      <c r="B368" s="1">
        <v>44104</v>
      </c>
      <c r="C368">
        <v>8081970522</v>
      </c>
      <c r="D368">
        <v>678443942.39999998</v>
      </c>
      <c r="E368">
        <v>46360819152</v>
      </c>
      <c r="F368">
        <v>75700966235</v>
      </c>
      <c r="G368">
        <v>29340147083</v>
      </c>
      <c r="H368">
        <v>0.89621569700000003</v>
      </c>
      <c r="I368">
        <v>2.3123399500000001</v>
      </c>
      <c r="J368">
        <v>1.5801154310000001</v>
      </c>
    </row>
    <row r="369" spans="1:10" x14ac:dyDescent="0.25">
      <c r="A369" t="s">
        <v>21</v>
      </c>
      <c r="B369" s="1">
        <v>44196</v>
      </c>
      <c r="C369">
        <v>5897253747</v>
      </c>
      <c r="D369">
        <v>625948791.20000005</v>
      </c>
      <c r="E369">
        <v>38506883950</v>
      </c>
      <c r="F369">
        <v>51548729961</v>
      </c>
      <c r="G369">
        <v>13041846011</v>
      </c>
      <c r="H369">
        <v>1.214285573</v>
      </c>
      <c r="I369">
        <v>4.7995413429999996</v>
      </c>
      <c r="J369">
        <v>2.9525639180000001</v>
      </c>
    </row>
    <row r="370" spans="1:10" x14ac:dyDescent="0.25">
      <c r="A370" t="s">
        <v>21</v>
      </c>
      <c r="B370" s="1">
        <v>44286</v>
      </c>
      <c r="C370">
        <v>14786170161</v>
      </c>
      <c r="D370">
        <v>1680074258</v>
      </c>
      <c r="E370">
        <v>26820455279</v>
      </c>
      <c r="F370">
        <v>61714717112</v>
      </c>
      <c r="G370">
        <v>34894261833</v>
      </c>
      <c r="H370">
        <v>2.7223235180000001</v>
      </c>
      <c r="I370">
        <v>4.814757986</v>
      </c>
      <c r="J370">
        <v>0.76862079500000002</v>
      </c>
    </row>
    <row r="371" spans="1:10" x14ac:dyDescent="0.25">
      <c r="A371" t="s">
        <v>21</v>
      </c>
      <c r="B371" s="1">
        <v>44377</v>
      </c>
      <c r="C371">
        <v>14025754117</v>
      </c>
      <c r="D371">
        <v>1636333354</v>
      </c>
      <c r="E371">
        <v>16839994355</v>
      </c>
      <c r="F371">
        <v>60072011589</v>
      </c>
      <c r="G371">
        <v>43232017234</v>
      </c>
      <c r="H371">
        <v>2.723952986</v>
      </c>
      <c r="I371">
        <v>3.7850034730000002</v>
      </c>
      <c r="J371">
        <v>0.38952599100000002</v>
      </c>
    </row>
    <row r="372" spans="1:10" x14ac:dyDescent="0.25">
      <c r="A372" t="s">
        <v>21</v>
      </c>
      <c r="B372" s="1">
        <v>44469</v>
      </c>
      <c r="C372">
        <v>14686380695</v>
      </c>
      <c r="D372">
        <v>2175890454</v>
      </c>
      <c r="E372">
        <v>36499903384</v>
      </c>
      <c r="F372">
        <v>85610397087</v>
      </c>
      <c r="G372">
        <v>49110493703</v>
      </c>
      <c r="H372">
        <v>2.5416193919999999</v>
      </c>
      <c r="I372">
        <v>4.4306018729999996</v>
      </c>
      <c r="J372">
        <v>0.74322004600000002</v>
      </c>
    </row>
    <row r="373" spans="1:10" x14ac:dyDescent="0.25">
      <c r="A373" t="s">
        <v>21</v>
      </c>
      <c r="B373" s="1">
        <v>44561</v>
      </c>
      <c r="C373">
        <v>12917187369</v>
      </c>
      <c r="D373">
        <v>1708731611</v>
      </c>
      <c r="E373">
        <v>17319486583</v>
      </c>
      <c r="F373">
        <v>43037893850</v>
      </c>
      <c r="G373">
        <v>25718407267</v>
      </c>
      <c r="H373">
        <v>3.9702956129999998</v>
      </c>
      <c r="I373">
        <v>6.6440024600000003</v>
      </c>
      <c r="J373">
        <v>0.67342765100000002</v>
      </c>
    </row>
    <row r="374" spans="1:10" x14ac:dyDescent="0.25">
      <c r="A374" t="s">
        <v>21</v>
      </c>
      <c r="B374" s="1">
        <v>44651</v>
      </c>
      <c r="C374">
        <v>7570645554</v>
      </c>
      <c r="D374">
        <v>419794972.69999999</v>
      </c>
      <c r="E374">
        <v>36325434183</v>
      </c>
      <c r="F374">
        <v>64924945929</v>
      </c>
      <c r="G374">
        <v>28599511746</v>
      </c>
      <c r="H374">
        <v>0.64658501700000004</v>
      </c>
      <c r="I374">
        <v>1.467839648</v>
      </c>
      <c r="J374">
        <v>1.27014176</v>
      </c>
    </row>
    <row r="375" spans="1:10" x14ac:dyDescent="0.25">
      <c r="A375" t="s">
        <v>21</v>
      </c>
      <c r="B375" s="1">
        <v>44742</v>
      </c>
      <c r="C375">
        <v>19175705351</v>
      </c>
      <c r="D375">
        <v>1921123977</v>
      </c>
      <c r="E375">
        <v>39424400695</v>
      </c>
      <c r="F375">
        <v>70149764250</v>
      </c>
      <c r="G375">
        <v>30725363554</v>
      </c>
      <c r="H375">
        <v>2.7386036109999998</v>
      </c>
      <c r="I375">
        <v>6.2525671129999996</v>
      </c>
      <c r="J375">
        <v>1.28312235</v>
      </c>
    </row>
    <row r="376" spans="1:10" x14ac:dyDescent="0.25">
      <c r="A376" t="s">
        <v>21</v>
      </c>
      <c r="B376" s="1">
        <v>44834</v>
      </c>
      <c r="C376">
        <v>7888146905</v>
      </c>
      <c r="D376">
        <v>698353200.20000005</v>
      </c>
      <c r="E376">
        <v>33355799273</v>
      </c>
      <c r="F376">
        <v>53175544683</v>
      </c>
      <c r="G376">
        <v>19819745411</v>
      </c>
      <c r="H376">
        <v>1.31329769</v>
      </c>
      <c r="I376">
        <v>3.5235225560000001</v>
      </c>
      <c r="J376">
        <v>1.682958009</v>
      </c>
    </row>
    <row r="377" spans="1:10" x14ac:dyDescent="0.25">
      <c r="A377" t="s">
        <v>21</v>
      </c>
      <c r="B377" s="1">
        <v>44926</v>
      </c>
      <c r="C377">
        <v>7610452133</v>
      </c>
      <c r="D377">
        <v>536310750.10000002</v>
      </c>
      <c r="E377">
        <v>48688712492</v>
      </c>
      <c r="F377">
        <v>88688270941</v>
      </c>
      <c r="G377">
        <v>39999558449</v>
      </c>
      <c r="H377">
        <v>0.60471440499999995</v>
      </c>
      <c r="I377">
        <v>1.340791676</v>
      </c>
      <c r="J377">
        <v>1.2172312489999999</v>
      </c>
    </row>
    <row r="378" spans="1:10" x14ac:dyDescent="0.25">
      <c r="A378" t="s">
        <v>21</v>
      </c>
      <c r="B378" s="1">
        <v>45016</v>
      </c>
      <c r="C378">
        <v>18085416710</v>
      </c>
      <c r="D378">
        <v>2126765225</v>
      </c>
      <c r="E378">
        <v>44629946816</v>
      </c>
      <c r="F378">
        <v>61554558843</v>
      </c>
      <c r="G378">
        <v>16924612027</v>
      </c>
      <c r="H378">
        <v>3.4550897040000002</v>
      </c>
      <c r="I378">
        <v>12.56610918</v>
      </c>
      <c r="J378">
        <v>2.6369849269999999</v>
      </c>
    </row>
    <row r="379" spans="1:10" x14ac:dyDescent="0.25">
      <c r="A379" t="s">
        <v>21</v>
      </c>
      <c r="B379" s="1">
        <v>45107</v>
      </c>
      <c r="C379">
        <v>9146296754</v>
      </c>
      <c r="D379">
        <v>868361702.89999998</v>
      </c>
      <c r="E379">
        <v>43413456694</v>
      </c>
      <c r="F379">
        <v>56455610934</v>
      </c>
      <c r="G379">
        <v>13042154240</v>
      </c>
      <c r="H379">
        <v>1.5381317969999999</v>
      </c>
      <c r="I379">
        <v>6.6581155760000001</v>
      </c>
      <c r="J379">
        <v>3.328702904</v>
      </c>
    </row>
    <row r="380" spans="1:10" x14ac:dyDescent="0.25">
      <c r="A380" t="s">
        <v>21</v>
      </c>
      <c r="B380" s="1">
        <v>45199</v>
      </c>
      <c r="C380">
        <v>9297896247</v>
      </c>
      <c r="D380">
        <v>1145109250</v>
      </c>
      <c r="E380">
        <v>49354599469</v>
      </c>
      <c r="F380">
        <v>67631473649</v>
      </c>
      <c r="G380">
        <v>18276874181</v>
      </c>
      <c r="H380">
        <v>1.6931602830000001</v>
      </c>
      <c r="I380">
        <v>6.2653451520000001</v>
      </c>
      <c r="J380">
        <v>2.7003851409999999</v>
      </c>
    </row>
    <row r="381" spans="1:10" x14ac:dyDescent="0.25">
      <c r="A381" t="s">
        <v>21</v>
      </c>
      <c r="B381" s="1">
        <v>45291</v>
      </c>
      <c r="C381">
        <v>17637490503</v>
      </c>
      <c r="D381">
        <v>2103890014</v>
      </c>
      <c r="E381">
        <v>44486109206</v>
      </c>
      <c r="F381">
        <v>61628452463</v>
      </c>
      <c r="G381">
        <v>17142343256</v>
      </c>
      <c r="H381">
        <v>3.413829051</v>
      </c>
      <c r="I381">
        <v>12.27305965</v>
      </c>
      <c r="J381">
        <v>2.5951008299999998</v>
      </c>
    </row>
    <row r="382" spans="1:10" x14ac:dyDescent="0.25">
      <c r="A382" t="s">
        <v>21</v>
      </c>
      <c r="B382" s="1">
        <v>45382</v>
      </c>
      <c r="C382">
        <v>18818295502</v>
      </c>
      <c r="D382">
        <v>2691544192</v>
      </c>
      <c r="E382">
        <v>27944602045</v>
      </c>
      <c r="F382">
        <v>74405164472</v>
      </c>
      <c r="G382">
        <v>46460562427</v>
      </c>
      <c r="H382">
        <v>3.617415823</v>
      </c>
      <c r="I382">
        <v>5.793180392</v>
      </c>
      <c r="J382">
        <v>0.60146930200000004</v>
      </c>
    </row>
    <row r="383" spans="1:10" x14ac:dyDescent="0.25">
      <c r="A383" t="s">
        <v>21</v>
      </c>
      <c r="B383" s="1">
        <v>45473</v>
      </c>
      <c r="C383">
        <v>16561793827</v>
      </c>
      <c r="D383">
        <v>2435933937</v>
      </c>
      <c r="E383">
        <v>19456844175</v>
      </c>
      <c r="F383">
        <v>52664090849</v>
      </c>
      <c r="G383">
        <v>33207246674</v>
      </c>
      <c r="H383">
        <v>4.6254172379999998</v>
      </c>
      <c r="I383">
        <v>7.3355492570000003</v>
      </c>
      <c r="J383">
        <v>0.58592163200000003</v>
      </c>
    </row>
    <row r="384" spans="1:10" x14ac:dyDescent="0.25">
      <c r="A384" t="s">
        <v>21</v>
      </c>
      <c r="B384" s="1">
        <v>45565</v>
      </c>
      <c r="C384">
        <v>15036344926</v>
      </c>
      <c r="D384">
        <v>1704097607</v>
      </c>
      <c r="E384">
        <v>30603212259</v>
      </c>
      <c r="F384">
        <v>59444780752</v>
      </c>
      <c r="G384">
        <v>28841568494</v>
      </c>
      <c r="H384">
        <v>2.8666900360000001</v>
      </c>
      <c r="I384">
        <v>5.908477575</v>
      </c>
      <c r="J384">
        <v>1.061080026</v>
      </c>
    </row>
    <row r="385" spans="1:10" x14ac:dyDescent="0.25">
      <c r="A385" t="s">
        <v>21</v>
      </c>
      <c r="B385" s="1">
        <v>45657</v>
      </c>
      <c r="C385">
        <v>18915504026</v>
      </c>
      <c r="D385">
        <v>2413914962</v>
      </c>
      <c r="E385">
        <v>30820597362</v>
      </c>
      <c r="F385">
        <v>65357495789</v>
      </c>
      <c r="G385">
        <v>34536898427</v>
      </c>
      <c r="H385">
        <v>3.6934018549999998</v>
      </c>
      <c r="I385">
        <v>6.9893796840000002</v>
      </c>
      <c r="J385">
        <v>0.89239621300000005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12</xdr:col>
                <xdr:colOff>9525</xdr:colOff>
                <xdr:row>2</xdr:row>
                <xdr:rowOff>9525</xdr:rowOff>
              </from>
              <to>
                <xdr:col>15</xdr:col>
                <xdr:colOff>38100</xdr:colOff>
                <xdr:row>4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B15" sqref="B15"/>
    </sheetView>
  </sheetViews>
  <sheetFormatPr defaultRowHeight="15" x14ac:dyDescent="0.25"/>
  <cols>
    <col min="2" max="2" width="92.85546875" bestFit="1" customWidth="1"/>
  </cols>
  <sheetData>
    <row r="1" spans="1:2" x14ac:dyDescent="0.25">
      <c r="A1" t="s">
        <v>24</v>
      </c>
      <c r="B1" t="s">
        <v>23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26</v>
      </c>
    </row>
    <row r="4" spans="1:2" x14ac:dyDescent="0.25">
      <c r="A4">
        <v>3</v>
      </c>
      <c r="B4" t="s">
        <v>27</v>
      </c>
    </row>
    <row r="5" spans="1:2" x14ac:dyDescent="0.25">
      <c r="A5">
        <v>4</v>
      </c>
      <c r="B5" t="s">
        <v>33</v>
      </c>
    </row>
    <row r="6" spans="1:2" x14ac:dyDescent="0.25">
      <c r="A6">
        <v>5</v>
      </c>
      <c r="B6" t="s">
        <v>36</v>
      </c>
    </row>
    <row r="7" spans="1:2" x14ac:dyDescent="0.25">
      <c r="A7">
        <v>6</v>
      </c>
      <c r="B7" t="s">
        <v>37</v>
      </c>
    </row>
    <row r="8" spans="1:2" x14ac:dyDescent="0.25">
      <c r="A8">
        <v>7</v>
      </c>
      <c r="B8" t="s">
        <v>38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85"/>
  <sheetViews>
    <sheetView workbookViewId="0">
      <selection activeCell="L15" sqref="L15"/>
    </sheetView>
  </sheetViews>
  <sheetFormatPr defaultRowHeight="15" x14ac:dyDescent="0.25"/>
  <cols>
    <col min="2" max="2" width="10.7109375" bestFit="1" customWidth="1"/>
    <col min="3" max="9" width="12" bestFit="1" customWidth="1"/>
    <col min="10" max="10" width="13.7109375" bestFit="1" customWidth="1"/>
    <col min="12" max="12" width="37.5703125" bestFit="1" customWidth="1"/>
    <col min="13" max="13" width="16.1406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3" x14ac:dyDescent="0.25">
      <c r="A2" t="s">
        <v>10</v>
      </c>
      <c r="B2" s="1">
        <v>42825</v>
      </c>
      <c r="C2">
        <v>19695988685</v>
      </c>
      <c r="D2">
        <v>1329397719</v>
      </c>
      <c r="E2">
        <v>24520605687</v>
      </c>
      <c r="F2">
        <v>58120450678</v>
      </c>
      <c r="G2">
        <v>33599844991</v>
      </c>
      <c r="H2">
        <v>2.2873148830000001</v>
      </c>
      <c r="I2">
        <v>3.9565590820000001</v>
      </c>
      <c r="J2">
        <v>0.72978329799999997</v>
      </c>
    </row>
    <row r="3" spans="1:13" x14ac:dyDescent="0.25">
      <c r="A3" t="s">
        <v>10</v>
      </c>
      <c r="B3" s="1">
        <v>42916</v>
      </c>
      <c r="C3">
        <v>7201825633</v>
      </c>
      <c r="D3">
        <v>722080990.60000002</v>
      </c>
      <c r="E3">
        <v>27556950386</v>
      </c>
      <c r="F3">
        <v>53860356064</v>
      </c>
      <c r="G3">
        <v>26303405678</v>
      </c>
      <c r="H3">
        <v>1.340653949</v>
      </c>
      <c r="I3">
        <v>2.745199612</v>
      </c>
      <c r="J3">
        <v>1.047657126</v>
      </c>
    </row>
    <row r="4" spans="1:13" x14ac:dyDescent="0.25">
      <c r="A4" t="s">
        <v>10</v>
      </c>
      <c r="B4" s="1">
        <v>43008</v>
      </c>
      <c r="C4">
        <v>15706422457</v>
      </c>
      <c r="D4">
        <v>2263166301</v>
      </c>
      <c r="E4">
        <v>11556351337</v>
      </c>
      <c r="F4">
        <v>26096752248</v>
      </c>
      <c r="G4">
        <v>14540400911</v>
      </c>
      <c r="H4">
        <v>8.6722143789999997</v>
      </c>
      <c r="I4">
        <v>15.564676070000001</v>
      </c>
      <c r="J4">
        <v>0.79477528900000005</v>
      </c>
      <c r="L4" s="8" t="s">
        <v>28</v>
      </c>
      <c r="M4" s="11">
        <f>AVERAGE(C26:C29)</f>
        <v>13659128146</v>
      </c>
    </row>
    <row r="5" spans="1:13" x14ac:dyDescent="0.25">
      <c r="A5" t="s">
        <v>10</v>
      </c>
      <c r="B5" s="1">
        <v>43100</v>
      </c>
      <c r="C5">
        <v>9750496618</v>
      </c>
      <c r="D5">
        <v>516889818.39999998</v>
      </c>
      <c r="E5">
        <v>21354201295</v>
      </c>
      <c r="F5">
        <v>54861302788</v>
      </c>
      <c r="G5">
        <v>33507101493</v>
      </c>
      <c r="H5">
        <v>0.94217561800000005</v>
      </c>
      <c r="I5">
        <v>1.542627668</v>
      </c>
      <c r="J5">
        <v>0.63730374599999995</v>
      </c>
    </row>
    <row r="6" spans="1:13" x14ac:dyDescent="0.25">
      <c r="A6" t="s">
        <v>10</v>
      </c>
      <c r="B6" s="1">
        <v>43190</v>
      </c>
      <c r="C6">
        <v>15989256775</v>
      </c>
      <c r="D6">
        <v>1291419013</v>
      </c>
      <c r="E6">
        <v>42659096630</v>
      </c>
      <c r="F6">
        <v>53863933584</v>
      </c>
      <c r="G6">
        <v>11204836955</v>
      </c>
      <c r="H6">
        <v>2.3975579339999999</v>
      </c>
      <c r="I6">
        <v>11.52554935</v>
      </c>
      <c r="J6">
        <v>3.8072036929999999</v>
      </c>
    </row>
    <row r="7" spans="1:13" x14ac:dyDescent="0.25">
      <c r="A7" t="s">
        <v>10</v>
      </c>
      <c r="B7" s="1">
        <v>43281</v>
      </c>
      <c r="C7">
        <v>6601886883</v>
      </c>
      <c r="D7">
        <v>674015397.39999998</v>
      </c>
      <c r="E7">
        <v>48397997453</v>
      </c>
      <c r="F7">
        <v>95156833814</v>
      </c>
      <c r="G7">
        <v>46758836361</v>
      </c>
      <c r="H7">
        <v>0.70832053800000006</v>
      </c>
      <c r="I7">
        <v>1.441471709</v>
      </c>
      <c r="J7">
        <v>1.035055643</v>
      </c>
    </row>
    <row r="8" spans="1:13" x14ac:dyDescent="0.25">
      <c r="A8" t="s">
        <v>10</v>
      </c>
      <c r="B8" s="1">
        <v>43373</v>
      </c>
      <c r="C8">
        <v>11494666314</v>
      </c>
      <c r="D8">
        <v>1658196131</v>
      </c>
      <c r="E8">
        <v>14924498356</v>
      </c>
      <c r="F8">
        <v>62462464157</v>
      </c>
      <c r="G8">
        <v>47537965801</v>
      </c>
      <c r="H8">
        <v>2.6547081559999999</v>
      </c>
      <c r="I8">
        <v>3.4881512130000001</v>
      </c>
      <c r="J8">
        <v>0.31394903200000002</v>
      </c>
    </row>
    <row r="9" spans="1:13" x14ac:dyDescent="0.25">
      <c r="A9" t="s">
        <v>10</v>
      </c>
      <c r="B9" s="1">
        <v>43465</v>
      </c>
      <c r="C9">
        <v>15132692627</v>
      </c>
      <c r="D9">
        <v>1296423798</v>
      </c>
      <c r="E9">
        <v>22603216585</v>
      </c>
      <c r="F9">
        <v>52612061095</v>
      </c>
      <c r="G9">
        <v>30008844510</v>
      </c>
      <c r="H9">
        <v>2.4641190079999999</v>
      </c>
      <c r="I9">
        <v>4.3201390100000001</v>
      </c>
      <c r="J9">
        <v>0.75321849100000005</v>
      </c>
    </row>
    <row r="10" spans="1:13" x14ac:dyDescent="0.25">
      <c r="A10" t="s">
        <v>10</v>
      </c>
      <c r="B10" s="1">
        <v>43555</v>
      </c>
      <c r="C10">
        <v>14907937768</v>
      </c>
      <c r="D10">
        <v>1438598483</v>
      </c>
      <c r="E10">
        <v>20854112480</v>
      </c>
      <c r="F10">
        <v>54405171112</v>
      </c>
      <c r="G10">
        <v>33551058632</v>
      </c>
      <c r="H10">
        <v>2.6442311520000001</v>
      </c>
      <c r="I10">
        <v>4.2877886460000001</v>
      </c>
      <c r="J10">
        <v>0.62156347199999995</v>
      </c>
    </row>
    <row r="11" spans="1:13" x14ac:dyDescent="0.25">
      <c r="A11" t="s">
        <v>10</v>
      </c>
      <c r="B11" s="1">
        <v>43646</v>
      </c>
      <c r="C11">
        <v>8797334817</v>
      </c>
      <c r="D11">
        <v>1311084923</v>
      </c>
      <c r="E11">
        <v>25365853191</v>
      </c>
      <c r="F11">
        <v>40151924792</v>
      </c>
      <c r="G11">
        <v>14786071601</v>
      </c>
      <c r="H11">
        <v>3.2653102679999999</v>
      </c>
      <c r="I11">
        <v>8.8670267430000003</v>
      </c>
      <c r="J11">
        <v>1.715523492</v>
      </c>
    </row>
    <row r="12" spans="1:13" x14ac:dyDescent="0.25">
      <c r="A12" t="s">
        <v>10</v>
      </c>
      <c r="B12" s="1">
        <v>43738</v>
      </c>
      <c r="C12">
        <v>10142417014</v>
      </c>
      <c r="D12">
        <v>1306294910</v>
      </c>
      <c r="E12">
        <v>21657205056</v>
      </c>
      <c r="F12">
        <v>33344564963</v>
      </c>
      <c r="G12">
        <v>11687359907</v>
      </c>
      <c r="H12">
        <v>3.9175647109999998</v>
      </c>
      <c r="I12">
        <v>11.17698882</v>
      </c>
      <c r="J12">
        <v>1.853045104</v>
      </c>
    </row>
    <row r="13" spans="1:13" x14ac:dyDescent="0.25">
      <c r="A13" t="s">
        <v>10</v>
      </c>
      <c r="B13" s="1">
        <v>43830</v>
      </c>
      <c r="C13">
        <v>15448794996</v>
      </c>
      <c r="D13">
        <v>1760261975</v>
      </c>
      <c r="E13">
        <v>43856467673</v>
      </c>
      <c r="F13">
        <v>93429721556</v>
      </c>
      <c r="G13">
        <v>49573253883</v>
      </c>
      <c r="H13">
        <v>1.884049257</v>
      </c>
      <c r="I13">
        <v>3.5508300080000001</v>
      </c>
      <c r="J13">
        <v>0.88468002899999998</v>
      </c>
    </row>
    <row r="14" spans="1:13" x14ac:dyDescent="0.25">
      <c r="A14" t="s">
        <v>10</v>
      </c>
      <c r="B14" s="1">
        <v>43921</v>
      </c>
      <c r="C14">
        <v>15933280023</v>
      </c>
      <c r="D14">
        <v>1743770422</v>
      </c>
      <c r="E14">
        <v>44490184859</v>
      </c>
      <c r="F14">
        <v>59864740520</v>
      </c>
      <c r="G14">
        <v>15374555661</v>
      </c>
      <c r="H14">
        <v>2.9128505480000002</v>
      </c>
      <c r="I14">
        <v>11.34192402</v>
      </c>
      <c r="J14">
        <v>2.8937541900000001</v>
      </c>
    </row>
    <row r="15" spans="1:13" x14ac:dyDescent="0.25">
      <c r="A15" t="s">
        <v>10</v>
      </c>
      <c r="B15" s="1">
        <v>44012</v>
      </c>
      <c r="C15">
        <v>7895384436</v>
      </c>
      <c r="D15">
        <v>511149178.89999998</v>
      </c>
      <c r="E15">
        <v>17592686846</v>
      </c>
      <c r="F15">
        <v>61107816340</v>
      </c>
      <c r="G15">
        <v>43515129494</v>
      </c>
      <c r="H15">
        <v>0.83647102699999998</v>
      </c>
      <c r="I15">
        <v>1.1746470360000001</v>
      </c>
      <c r="J15">
        <v>0.404288969</v>
      </c>
    </row>
    <row r="16" spans="1:13" x14ac:dyDescent="0.25">
      <c r="A16" t="s">
        <v>10</v>
      </c>
      <c r="B16" s="1">
        <v>44104</v>
      </c>
      <c r="C16">
        <v>12436929028</v>
      </c>
      <c r="D16">
        <v>1654939942</v>
      </c>
      <c r="E16">
        <v>49496396884</v>
      </c>
      <c r="F16">
        <v>90362459109</v>
      </c>
      <c r="G16">
        <v>40866062225</v>
      </c>
      <c r="H16">
        <v>1.831446331</v>
      </c>
      <c r="I16">
        <v>4.0496682369999997</v>
      </c>
      <c r="J16">
        <v>1.2111858639999999</v>
      </c>
    </row>
    <row r="17" spans="1:10" x14ac:dyDescent="0.25">
      <c r="A17" t="s">
        <v>10</v>
      </c>
      <c r="B17" s="1">
        <v>44196</v>
      </c>
      <c r="C17">
        <v>6074909806</v>
      </c>
      <c r="D17">
        <v>875656602.5</v>
      </c>
      <c r="E17">
        <v>42262965768</v>
      </c>
      <c r="F17">
        <v>80569106208</v>
      </c>
      <c r="G17">
        <v>38306140440</v>
      </c>
      <c r="H17">
        <v>1.0868391669999999</v>
      </c>
      <c r="I17">
        <v>2.2859431739999998</v>
      </c>
      <c r="J17">
        <v>1.1032948060000001</v>
      </c>
    </row>
    <row r="18" spans="1:10" x14ac:dyDescent="0.25">
      <c r="A18" t="s">
        <v>10</v>
      </c>
      <c r="B18" s="1">
        <v>44286</v>
      </c>
      <c r="C18">
        <v>19710269369</v>
      </c>
      <c r="D18">
        <v>1137314233</v>
      </c>
      <c r="E18">
        <v>36066540496</v>
      </c>
      <c r="F18">
        <v>64427162211</v>
      </c>
      <c r="G18">
        <v>28360621715</v>
      </c>
      <c r="H18">
        <v>1.7652713440000001</v>
      </c>
      <c r="I18">
        <v>4.010187943</v>
      </c>
      <c r="J18">
        <v>1.2717119130000001</v>
      </c>
    </row>
    <row r="19" spans="1:10" x14ac:dyDescent="0.25">
      <c r="A19" t="s">
        <v>10</v>
      </c>
      <c r="B19" s="1">
        <v>44377</v>
      </c>
      <c r="C19">
        <v>12858026662</v>
      </c>
      <c r="D19">
        <v>1124878943</v>
      </c>
      <c r="E19">
        <v>17059669622</v>
      </c>
      <c r="F19">
        <v>65938237159</v>
      </c>
      <c r="G19">
        <v>48878567538</v>
      </c>
      <c r="H19">
        <v>1.705958471</v>
      </c>
      <c r="I19">
        <v>2.3013746089999998</v>
      </c>
      <c r="J19">
        <v>0.34902147300000003</v>
      </c>
    </row>
    <row r="20" spans="1:10" x14ac:dyDescent="0.25">
      <c r="A20" t="s">
        <v>10</v>
      </c>
      <c r="B20" s="1">
        <v>44469</v>
      </c>
      <c r="C20">
        <v>10294096366</v>
      </c>
      <c r="D20">
        <v>1404729444</v>
      </c>
      <c r="E20">
        <v>27027656894</v>
      </c>
      <c r="F20">
        <v>48359524775</v>
      </c>
      <c r="G20">
        <v>21331867881</v>
      </c>
      <c r="H20">
        <v>2.9047627130000002</v>
      </c>
      <c r="I20">
        <v>6.5851216199999998</v>
      </c>
      <c r="J20">
        <v>1.267008452</v>
      </c>
    </row>
    <row r="21" spans="1:10" x14ac:dyDescent="0.25">
      <c r="A21" t="s">
        <v>10</v>
      </c>
      <c r="B21" s="1">
        <v>44561</v>
      </c>
      <c r="C21">
        <v>11544833810</v>
      </c>
      <c r="D21">
        <v>1709962819</v>
      </c>
      <c r="E21">
        <v>14660160673</v>
      </c>
      <c r="F21">
        <v>40260511363</v>
      </c>
      <c r="G21">
        <v>25600350690</v>
      </c>
      <c r="H21">
        <v>4.2472456540000003</v>
      </c>
      <c r="I21">
        <v>6.6794507620000001</v>
      </c>
      <c r="J21">
        <v>0.57265468200000003</v>
      </c>
    </row>
    <row r="22" spans="1:10" x14ac:dyDescent="0.25">
      <c r="A22" t="s">
        <v>10</v>
      </c>
      <c r="B22" s="1">
        <v>44651</v>
      </c>
      <c r="C22">
        <v>17383281301</v>
      </c>
      <c r="D22">
        <v>2467286454</v>
      </c>
      <c r="E22">
        <v>26847350661</v>
      </c>
      <c r="F22">
        <v>44033610784</v>
      </c>
      <c r="G22">
        <v>17186260123</v>
      </c>
      <c r="H22">
        <v>5.6031890410000003</v>
      </c>
      <c r="I22">
        <v>14.35615681</v>
      </c>
      <c r="J22">
        <v>1.5621403650000001</v>
      </c>
    </row>
    <row r="23" spans="1:10" x14ac:dyDescent="0.25">
      <c r="A23" t="s">
        <v>10</v>
      </c>
      <c r="B23" s="1">
        <v>44742</v>
      </c>
      <c r="C23">
        <v>12314464977</v>
      </c>
      <c r="D23">
        <v>1478784803</v>
      </c>
      <c r="E23">
        <v>25112871815</v>
      </c>
      <c r="F23">
        <v>44050938495</v>
      </c>
      <c r="G23">
        <v>18938066680</v>
      </c>
      <c r="H23">
        <v>3.3569881910000001</v>
      </c>
      <c r="I23">
        <v>7.8085309770000002</v>
      </c>
      <c r="J23">
        <v>1.326052561</v>
      </c>
    </row>
    <row r="24" spans="1:10" x14ac:dyDescent="0.25">
      <c r="A24" t="s">
        <v>10</v>
      </c>
      <c r="B24" s="1">
        <v>44834</v>
      </c>
      <c r="C24">
        <v>10260879440</v>
      </c>
      <c r="D24">
        <v>889227522</v>
      </c>
      <c r="E24">
        <v>10690275300</v>
      </c>
      <c r="F24">
        <v>28159139854</v>
      </c>
      <c r="G24">
        <v>17468864554</v>
      </c>
      <c r="H24">
        <v>3.1578646460000002</v>
      </c>
      <c r="I24">
        <v>5.0903567269999996</v>
      </c>
      <c r="J24">
        <v>0.61196165700000005</v>
      </c>
    </row>
    <row r="25" spans="1:10" x14ac:dyDescent="0.25">
      <c r="A25" t="s">
        <v>10</v>
      </c>
      <c r="B25" s="1">
        <v>44926</v>
      </c>
      <c r="C25">
        <v>11168902003</v>
      </c>
      <c r="D25">
        <v>587168043.39999998</v>
      </c>
      <c r="E25">
        <v>20072750684</v>
      </c>
      <c r="F25">
        <v>67464272122</v>
      </c>
      <c r="G25">
        <v>47391521437</v>
      </c>
      <c r="H25">
        <v>0.87033925499999998</v>
      </c>
      <c r="I25">
        <v>1.238972765</v>
      </c>
      <c r="J25">
        <v>0.42355151499999999</v>
      </c>
    </row>
    <row r="26" spans="1:10" x14ac:dyDescent="0.25">
      <c r="A26" t="s">
        <v>10</v>
      </c>
      <c r="B26" s="1">
        <v>45016</v>
      </c>
      <c r="C26">
        <v>13460197722</v>
      </c>
      <c r="D26">
        <v>1122578628</v>
      </c>
      <c r="E26">
        <v>37590881745</v>
      </c>
      <c r="F26">
        <v>71858135493</v>
      </c>
      <c r="G26">
        <v>34267253748</v>
      </c>
      <c r="H26">
        <v>1.562215079</v>
      </c>
      <c r="I26">
        <v>3.2759515430000001</v>
      </c>
      <c r="J26">
        <v>1.096991373</v>
      </c>
    </row>
    <row r="27" spans="1:10" x14ac:dyDescent="0.25">
      <c r="A27" t="s">
        <v>10</v>
      </c>
      <c r="B27" s="1">
        <v>45107</v>
      </c>
      <c r="C27">
        <v>12729418594</v>
      </c>
      <c r="D27">
        <v>1662688493</v>
      </c>
      <c r="E27">
        <v>39022576433</v>
      </c>
      <c r="F27">
        <v>81451183390</v>
      </c>
      <c r="G27">
        <v>42428606957</v>
      </c>
      <c r="H27">
        <v>2.0413312910000001</v>
      </c>
      <c r="I27">
        <v>3.9187911479999999</v>
      </c>
      <c r="J27">
        <v>0.91972325399999999</v>
      </c>
    </row>
    <row r="28" spans="1:10" x14ac:dyDescent="0.25">
      <c r="A28" t="s">
        <v>10</v>
      </c>
      <c r="B28" s="1">
        <v>45199</v>
      </c>
      <c r="C28">
        <v>11664866018</v>
      </c>
      <c r="D28">
        <v>1677667162</v>
      </c>
      <c r="E28">
        <v>15998323030</v>
      </c>
      <c r="F28">
        <v>33372541902</v>
      </c>
      <c r="G28">
        <v>17374218871</v>
      </c>
      <c r="H28">
        <v>5.0270883380000004</v>
      </c>
      <c r="I28">
        <v>9.6560724499999999</v>
      </c>
      <c r="J28">
        <v>0.92080819000000003</v>
      </c>
    </row>
    <row r="29" spans="1:10" x14ac:dyDescent="0.25">
      <c r="A29" t="s">
        <v>10</v>
      </c>
      <c r="B29" s="1">
        <v>45291</v>
      </c>
      <c r="C29">
        <v>16782030250</v>
      </c>
      <c r="D29">
        <v>1481049554</v>
      </c>
      <c r="E29">
        <v>32384571623</v>
      </c>
      <c r="F29">
        <v>78417189252</v>
      </c>
      <c r="G29">
        <v>46032617629</v>
      </c>
      <c r="H29">
        <v>1.888679725</v>
      </c>
      <c r="I29">
        <v>3.2173915590000002</v>
      </c>
      <c r="J29">
        <v>0.70351357999999997</v>
      </c>
    </row>
    <row r="30" spans="1:10" x14ac:dyDescent="0.25">
      <c r="A30" t="s">
        <v>10</v>
      </c>
      <c r="B30" s="1">
        <v>45382</v>
      </c>
      <c r="C30">
        <v>7309084994</v>
      </c>
      <c r="D30">
        <v>1039334580</v>
      </c>
      <c r="E30">
        <v>30910642675</v>
      </c>
      <c r="F30">
        <v>64531416585</v>
      </c>
      <c r="G30">
        <v>33620773909</v>
      </c>
      <c r="H30">
        <v>1.61058696</v>
      </c>
      <c r="I30">
        <v>3.0913463889999999</v>
      </c>
      <c r="J30">
        <v>0.91939117000000004</v>
      </c>
    </row>
    <row r="31" spans="1:10" x14ac:dyDescent="0.25">
      <c r="A31" t="s">
        <v>10</v>
      </c>
      <c r="B31" s="1">
        <v>45473</v>
      </c>
      <c r="C31">
        <v>13076152982</v>
      </c>
      <c r="D31">
        <v>1526410746</v>
      </c>
      <c r="E31">
        <v>24545656357</v>
      </c>
      <c r="F31">
        <v>68124372355</v>
      </c>
      <c r="G31">
        <v>43578715998</v>
      </c>
      <c r="H31">
        <v>2.2406235730000001</v>
      </c>
      <c r="I31">
        <v>3.5026519509999998</v>
      </c>
      <c r="J31">
        <v>0.56324872800000003</v>
      </c>
    </row>
    <row r="32" spans="1:10" x14ac:dyDescent="0.25">
      <c r="A32" t="s">
        <v>10</v>
      </c>
      <c r="B32" s="1">
        <v>45565</v>
      </c>
      <c r="C32">
        <v>9752432683</v>
      </c>
      <c r="D32">
        <v>970590418.5</v>
      </c>
      <c r="E32">
        <v>31255665329</v>
      </c>
      <c r="F32">
        <v>70790020629</v>
      </c>
      <c r="G32">
        <v>39534355300</v>
      </c>
      <c r="H32">
        <v>1.371083678</v>
      </c>
      <c r="I32">
        <v>2.4550556370000001</v>
      </c>
      <c r="J32">
        <v>0.79059504300000005</v>
      </c>
    </row>
    <row r="33" spans="1:10" x14ac:dyDescent="0.25">
      <c r="A33" t="s">
        <v>10</v>
      </c>
      <c r="B33" s="1">
        <v>45657</v>
      </c>
      <c r="C33">
        <v>14186610709</v>
      </c>
      <c r="D33">
        <v>2107123762</v>
      </c>
      <c r="E33">
        <v>14632441063</v>
      </c>
      <c r="F33">
        <v>32642980976</v>
      </c>
      <c r="G33">
        <v>18010539913</v>
      </c>
      <c r="H33">
        <v>6.4550592470000003</v>
      </c>
      <c r="I33">
        <v>11.699392530000001</v>
      </c>
      <c r="J33">
        <v>0.81243766900000003</v>
      </c>
    </row>
    <row r="34" spans="1:10" x14ac:dyDescent="0.25">
      <c r="A34" t="s">
        <v>11</v>
      </c>
      <c r="B34" s="1">
        <v>42825</v>
      </c>
      <c r="C34">
        <v>19833452617</v>
      </c>
      <c r="D34">
        <v>1519697640</v>
      </c>
      <c r="E34">
        <v>16063730954</v>
      </c>
      <c r="F34">
        <v>53272532961</v>
      </c>
      <c r="G34">
        <v>37208802008</v>
      </c>
      <c r="H34">
        <v>2.8526851560000002</v>
      </c>
      <c r="I34">
        <v>4.084242325</v>
      </c>
      <c r="J34">
        <v>0.43171857400000002</v>
      </c>
    </row>
    <row r="35" spans="1:10" x14ac:dyDescent="0.25">
      <c r="A35" t="s">
        <v>11</v>
      </c>
      <c r="B35" s="1">
        <v>42916</v>
      </c>
      <c r="C35">
        <v>9065572324</v>
      </c>
      <c r="D35">
        <v>736570414.39999998</v>
      </c>
      <c r="E35">
        <v>47957169639</v>
      </c>
      <c r="F35">
        <v>95650487131</v>
      </c>
      <c r="G35">
        <v>47693317491</v>
      </c>
      <c r="H35">
        <v>0.77006446799999995</v>
      </c>
      <c r="I35">
        <v>1.544389137</v>
      </c>
      <c r="J35">
        <v>1.005532267</v>
      </c>
    </row>
    <row r="36" spans="1:10" x14ac:dyDescent="0.25">
      <c r="A36" t="s">
        <v>11</v>
      </c>
      <c r="B36" s="1">
        <v>43008</v>
      </c>
      <c r="C36">
        <v>5703877749</v>
      </c>
      <c r="D36">
        <v>588622371.39999998</v>
      </c>
      <c r="E36">
        <v>24982736979</v>
      </c>
      <c r="F36">
        <v>39727077870</v>
      </c>
      <c r="G36">
        <v>14744340891</v>
      </c>
      <c r="H36">
        <v>1.481665411</v>
      </c>
      <c r="I36">
        <v>3.9921918230000002</v>
      </c>
      <c r="J36">
        <v>1.6943949659999999</v>
      </c>
    </row>
    <row r="37" spans="1:10" x14ac:dyDescent="0.25">
      <c r="A37" t="s">
        <v>11</v>
      </c>
      <c r="B37" s="1">
        <v>43100</v>
      </c>
      <c r="C37">
        <v>19716237464</v>
      </c>
      <c r="D37">
        <v>1276840007</v>
      </c>
      <c r="E37">
        <v>45009303223</v>
      </c>
      <c r="F37">
        <v>75268101508</v>
      </c>
      <c r="G37">
        <v>30258798286</v>
      </c>
      <c r="H37">
        <v>1.6963892819999999</v>
      </c>
      <c r="I37">
        <v>4.219731382</v>
      </c>
      <c r="J37">
        <v>1.487478214</v>
      </c>
    </row>
    <row r="38" spans="1:10" x14ac:dyDescent="0.25">
      <c r="A38" t="s">
        <v>11</v>
      </c>
      <c r="B38" s="1">
        <v>43190</v>
      </c>
      <c r="C38">
        <v>10138254767</v>
      </c>
      <c r="D38">
        <v>1262116952</v>
      </c>
      <c r="E38">
        <v>45296373926</v>
      </c>
      <c r="F38">
        <v>72972094010</v>
      </c>
      <c r="G38">
        <v>27675720085</v>
      </c>
      <c r="H38">
        <v>1.729588508</v>
      </c>
      <c r="I38">
        <v>4.5603762000000003</v>
      </c>
      <c r="J38">
        <v>1.63668276</v>
      </c>
    </row>
    <row r="39" spans="1:10" x14ac:dyDescent="0.25">
      <c r="A39" t="s">
        <v>11</v>
      </c>
      <c r="B39" s="1">
        <v>43281</v>
      </c>
      <c r="C39">
        <v>11314535587</v>
      </c>
      <c r="D39">
        <v>1340341283</v>
      </c>
      <c r="E39">
        <v>33163887180</v>
      </c>
      <c r="F39">
        <v>56794362553</v>
      </c>
      <c r="G39">
        <v>23630475373</v>
      </c>
      <c r="H39">
        <v>2.3599900109999998</v>
      </c>
      <c r="I39">
        <v>5.672087683</v>
      </c>
      <c r="J39">
        <v>1.4034371569999999</v>
      </c>
    </row>
    <row r="40" spans="1:10" x14ac:dyDescent="0.25">
      <c r="A40" t="s">
        <v>11</v>
      </c>
      <c r="B40" s="1">
        <v>43373</v>
      </c>
      <c r="C40">
        <v>12634974138</v>
      </c>
      <c r="D40">
        <v>741274735</v>
      </c>
      <c r="E40">
        <v>28126694879</v>
      </c>
      <c r="F40">
        <v>40432233302</v>
      </c>
      <c r="G40">
        <v>12305538423</v>
      </c>
      <c r="H40">
        <v>1.833375687</v>
      </c>
      <c r="I40">
        <v>6.0239114249999997</v>
      </c>
      <c r="J40">
        <v>2.2856939619999999</v>
      </c>
    </row>
    <row r="41" spans="1:10" x14ac:dyDescent="0.25">
      <c r="A41" t="s">
        <v>11</v>
      </c>
      <c r="B41" s="1">
        <v>43465</v>
      </c>
      <c r="C41">
        <v>9738110535</v>
      </c>
      <c r="D41">
        <v>1128540207</v>
      </c>
      <c r="E41">
        <v>47796930083</v>
      </c>
      <c r="F41">
        <v>86681431720</v>
      </c>
      <c r="G41">
        <v>38884501637</v>
      </c>
      <c r="H41">
        <v>1.3019399709999999</v>
      </c>
      <c r="I41">
        <v>2.9022879540000002</v>
      </c>
      <c r="J41">
        <v>1.229202589</v>
      </c>
    </row>
    <row r="42" spans="1:10" x14ac:dyDescent="0.25">
      <c r="A42" t="s">
        <v>11</v>
      </c>
      <c r="B42" s="1">
        <v>43555</v>
      </c>
      <c r="C42">
        <v>11643264079</v>
      </c>
      <c r="D42">
        <v>1453293868</v>
      </c>
      <c r="E42">
        <v>35825693285</v>
      </c>
      <c r="F42">
        <v>75665486452</v>
      </c>
      <c r="G42">
        <v>39839793167</v>
      </c>
      <c r="H42">
        <v>1.920682647</v>
      </c>
      <c r="I42">
        <v>3.6478449120000001</v>
      </c>
      <c r="J42">
        <v>0.89924395800000001</v>
      </c>
    </row>
    <row r="43" spans="1:10" x14ac:dyDescent="0.25">
      <c r="A43" t="s">
        <v>11</v>
      </c>
      <c r="B43" s="1">
        <v>43646</v>
      </c>
      <c r="C43">
        <v>6550073893</v>
      </c>
      <c r="D43">
        <v>733627118.39999998</v>
      </c>
      <c r="E43">
        <v>19919552350</v>
      </c>
      <c r="F43">
        <v>37424903073</v>
      </c>
      <c r="G43">
        <v>17505350723</v>
      </c>
      <c r="H43">
        <v>1.9602645780000001</v>
      </c>
      <c r="I43">
        <v>4.1908735789999998</v>
      </c>
      <c r="J43">
        <v>1.137912211</v>
      </c>
    </row>
    <row r="44" spans="1:10" x14ac:dyDescent="0.25">
      <c r="A44" t="s">
        <v>11</v>
      </c>
      <c r="B44" s="1">
        <v>43738</v>
      </c>
      <c r="C44">
        <v>16654538457</v>
      </c>
      <c r="D44">
        <v>1322270205</v>
      </c>
      <c r="E44">
        <v>29781715108</v>
      </c>
      <c r="F44">
        <v>63506323345</v>
      </c>
      <c r="G44">
        <v>33724608237</v>
      </c>
      <c r="H44">
        <v>2.0821079469999999</v>
      </c>
      <c r="I44">
        <v>3.9207874440000001</v>
      </c>
      <c r="J44">
        <v>0.88308557700000001</v>
      </c>
    </row>
    <row r="45" spans="1:10" x14ac:dyDescent="0.25">
      <c r="A45" t="s">
        <v>11</v>
      </c>
      <c r="B45" s="1">
        <v>43830</v>
      </c>
      <c r="C45">
        <v>12841952642</v>
      </c>
      <c r="D45">
        <v>1411970100</v>
      </c>
      <c r="E45">
        <v>29126693633</v>
      </c>
      <c r="F45">
        <v>55130546327</v>
      </c>
      <c r="G45">
        <v>26003852694</v>
      </c>
      <c r="H45">
        <v>2.5611393219999998</v>
      </c>
      <c r="I45">
        <v>5.429849634</v>
      </c>
      <c r="J45">
        <v>1.1200914719999999</v>
      </c>
    </row>
    <row r="46" spans="1:10" x14ac:dyDescent="0.25">
      <c r="A46" t="s">
        <v>11</v>
      </c>
      <c r="B46" s="1">
        <v>43921</v>
      </c>
      <c r="C46">
        <v>15947068708</v>
      </c>
      <c r="D46">
        <v>835207323</v>
      </c>
      <c r="E46">
        <v>19623471264</v>
      </c>
      <c r="F46">
        <v>54178518349</v>
      </c>
      <c r="G46">
        <v>34555047086</v>
      </c>
      <c r="H46">
        <v>1.541583913</v>
      </c>
      <c r="I46">
        <v>2.4170342499999999</v>
      </c>
      <c r="J46">
        <v>0.567890161</v>
      </c>
    </row>
    <row r="47" spans="1:10" x14ac:dyDescent="0.25">
      <c r="A47" t="s">
        <v>11</v>
      </c>
      <c r="B47" s="1">
        <v>44012</v>
      </c>
      <c r="C47">
        <v>7571178877</v>
      </c>
      <c r="D47">
        <v>527700192</v>
      </c>
      <c r="E47">
        <v>14328955584</v>
      </c>
      <c r="F47">
        <v>29444881442</v>
      </c>
      <c r="G47">
        <v>15115925857</v>
      </c>
      <c r="H47">
        <v>1.7921627330000001</v>
      </c>
      <c r="I47">
        <v>3.4910213040000002</v>
      </c>
      <c r="J47">
        <v>0.94793767299999998</v>
      </c>
    </row>
    <row r="48" spans="1:10" x14ac:dyDescent="0.25">
      <c r="A48" t="s">
        <v>11</v>
      </c>
      <c r="B48" s="1">
        <v>44104</v>
      </c>
      <c r="C48">
        <v>11686522494</v>
      </c>
      <c r="D48">
        <v>980715243.5</v>
      </c>
      <c r="E48">
        <v>33647832225</v>
      </c>
      <c r="F48">
        <v>72644583109</v>
      </c>
      <c r="G48">
        <v>38996750884</v>
      </c>
      <c r="H48">
        <v>1.3500184070000001</v>
      </c>
      <c r="I48">
        <v>2.5148639849999999</v>
      </c>
      <c r="J48">
        <v>0.86283681199999995</v>
      </c>
    </row>
    <row r="49" spans="1:10" x14ac:dyDescent="0.25">
      <c r="A49" t="s">
        <v>11</v>
      </c>
      <c r="B49" s="1">
        <v>44196</v>
      </c>
      <c r="C49">
        <v>17731550761</v>
      </c>
      <c r="D49">
        <v>1893885668</v>
      </c>
      <c r="E49">
        <v>10137976567</v>
      </c>
      <c r="F49">
        <v>39067986912</v>
      </c>
      <c r="G49">
        <v>28930010345</v>
      </c>
      <c r="H49">
        <v>4.8476663819999999</v>
      </c>
      <c r="I49">
        <v>6.5464396479999998</v>
      </c>
      <c r="J49">
        <v>0.35043114199999997</v>
      </c>
    </row>
    <row r="50" spans="1:10" x14ac:dyDescent="0.25">
      <c r="A50" t="s">
        <v>11</v>
      </c>
      <c r="B50" s="1">
        <v>44286</v>
      </c>
      <c r="C50">
        <v>18942636889</v>
      </c>
      <c r="D50">
        <v>1771268697</v>
      </c>
      <c r="E50">
        <v>15918566390</v>
      </c>
      <c r="F50">
        <v>49830943520</v>
      </c>
      <c r="G50">
        <v>33912377129</v>
      </c>
      <c r="H50">
        <v>3.5545558079999999</v>
      </c>
      <c r="I50">
        <v>5.2230744260000002</v>
      </c>
      <c r="J50">
        <v>0.46940284799999998</v>
      </c>
    </row>
    <row r="51" spans="1:10" x14ac:dyDescent="0.25">
      <c r="A51" t="s">
        <v>11</v>
      </c>
      <c r="B51" s="1">
        <v>44377</v>
      </c>
      <c r="C51">
        <v>6387462404</v>
      </c>
      <c r="D51">
        <v>911547751.10000002</v>
      </c>
      <c r="E51">
        <v>43580496165</v>
      </c>
      <c r="F51">
        <v>59758020643</v>
      </c>
      <c r="G51">
        <v>16177524478</v>
      </c>
      <c r="H51">
        <v>1.525398166</v>
      </c>
      <c r="I51">
        <v>5.6346553659999996</v>
      </c>
      <c r="J51">
        <v>2.6938915300000001</v>
      </c>
    </row>
    <row r="52" spans="1:10" x14ac:dyDescent="0.25">
      <c r="A52" t="s">
        <v>11</v>
      </c>
      <c r="B52" s="1">
        <v>44469</v>
      </c>
      <c r="C52">
        <v>19026792698</v>
      </c>
      <c r="D52">
        <v>2073416725</v>
      </c>
      <c r="E52">
        <v>23713313938</v>
      </c>
      <c r="F52">
        <v>47556455590</v>
      </c>
      <c r="G52">
        <v>23843141652</v>
      </c>
      <c r="H52">
        <v>4.3599059249999996</v>
      </c>
      <c r="I52">
        <v>8.6960718319999994</v>
      </c>
      <c r="J52">
        <v>0.99455492400000001</v>
      </c>
    </row>
    <row r="53" spans="1:10" x14ac:dyDescent="0.25">
      <c r="A53" t="s">
        <v>11</v>
      </c>
      <c r="B53" s="1">
        <v>44561</v>
      </c>
      <c r="C53">
        <v>15389996263</v>
      </c>
      <c r="D53">
        <v>923394181.60000002</v>
      </c>
      <c r="E53">
        <v>21808491986</v>
      </c>
      <c r="F53">
        <v>40095375980</v>
      </c>
      <c r="G53">
        <v>18286883994</v>
      </c>
      <c r="H53">
        <v>2.3029941960000002</v>
      </c>
      <c r="I53">
        <v>5.0494889230000002</v>
      </c>
      <c r="J53">
        <v>1.192575618</v>
      </c>
    </row>
    <row r="54" spans="1:10" x14ac:dyDescent="0.25">
      <c r="A54" t="s">
        <v>11</v>
      </c>
      <c r="B54" s="1">
        <v>44651</v>
      </c>
      <c r="C54">
        <v>7786480387</v>
      </c>
      <c r="D54">
        <v>484400549.69999999</v>
      </c>
      <c r="E54">
        <v>33021752886</v>
      </c>
      <c r="F54">
        <v>60040484961</v>
      </c>
      <c r="G54">
        <v>27018732075</v>
      </c>
      <c r="H54">
        <v>0.80678986900000005</v>
      </c>
      <c r="I54">
        <v>1.7928322779999999</v>
      </c>
      <c r="J54">
        <v>1.2221799600000001</v>
      </c>
    </row>
    <row r="55" spans="1:10" x14ac:dyDescent="0.25">
      <c r="A55" t="s">
        <v>11</v>
      </c>
      <c r="B55" s="1">
        <v>44742</v>
      </c>
      <c r="C55">
        <v>17737880122</v>
      </c>
      <c r="D55">
        <v>2592267899</v>
      </c>
      <c r="E55">
        <v>23358323946</v>
      </c>
      <c r="F55">
        <v>38107807520</v>
      </c>
      <c r="G55">
        <v>14749483574</v>
      </c>
      <c r="H55">
        <v>6.8024587810000003</v>
      </c>
      <c r="I55">
        <v>17.575312969999999</v>
      </c>
      <c r="J55">
        <v>1.5836706300000001</v>
      </c>
    </row>
    <row r="56" spans="1:10" x14ac:dyDescent="0.25">
      <c r="A56" t="s">
        <v>11</v>
      </c>
      <c r="B56" s="1">
        <v>44834</v>
      </c>
      <c r="C56">
        <v>12664949131</v>
      </c>
      <c r="D56">
        <v>649372783.10000002</v>
      </c>
      <c r="E56">
        <v>35555990358</v>
      </c>
      <c r="F56">
        <v>69522102895</v>
      </c>
      <c r="G56">
        <v>33966112537</v>
      </c>
      <c r="H56">
        <v>0.93405227400000002</v>
      </c>
      <c r="I56">
        <v>1.9118254480000001</v>
      </c>
      <c r="J56">
        <v>1.0468077650000001</v>
      </c>
    </row>
    <row r="57" spans="1:10" x14ac:dyDescent="0.25">
      <c r="A57" t="s">
        <v>11</v>
      </c>
      <c r="B57" s="1">
        <v>44926</v>
      </c>
      <c r="C57">
        <v>16861000234</v>
      </c>
      <c r="D57">
        <v>918419211.5</v>
      </c>
      <c r="E57">
        <v>32873432607</v>
      </c>
      <c r="F57">
        <v>81487723152</v>
      </c>
      <c r="G57">
        <v>48614290545</v>
      </c>
      <c r="H57">
        <v>1.127064515</v>
      </c>
      <c r="I57">
        <v>1.8891959570000001</v>
      </c>
      <c r="J57">
        <v>0.67620924299999996</v>
      </c>
    </row>
    <row r="58" spans="1:10" x14ac:dyDescent="0.25">
      <c r="A58" t="s">
        <v>11</v>
      </c>
      <c r="B58" s="1">
        <v>45016</v>
      </c>
      <c r="C58">
        <v>13888922534</v>
      </c>
      <c r="D58">
        <v>1095226689</v>
      </c>
      <c r="E58">
        <v>47947497289</v>
      </c>
      <c r="F58">
        <v>70943083888</v>
      </c>
      <c r="G58">
        <v>22995586599</v>
      </c>
      <c r="H58">
        <v>1.543810374</v>
      </c>
      <c r="I58">
        <v>4.7627690810000001</v>
      </c>
      <c r="J58">
        <v>2.0850738940000002</v>
      </c>
    </row>
    <row r="59" spans="1:10" x14ac:dyDescent="0.25">
      <c r="A59" t="s">
        <v>11</v>
      </c>
      <c r="B59" s="1">
        <v>45107</v>
      </c>
      <c r="C59">
        <v>14327627383</v>
      </c>
      <c r="D59">
        <v>1625286889</v>
      </c>
      <c r="E59">
        <v>41679203694</v>
      </c>
      <c r="F59">
        <v>52235242339</v>
      </c>
      <c r="G59">
        <v>10556038645</v>
      </c>
      <c r="H59">
        <v>3.1114757320000002</v>
      </c>
      <c r="I59">
        <v>15.396750089999999</v>
      </c>
      <c r="J59">
        <v>3.9483754370000002</v>
      </c>
    </row>
    <row r="60" spans="1:10" x14ac:dyDescent="0.25">
      <c r="A60" t="s">
        <v>11</v>
      </c>
      <c r="B60" s="1">
        <v>45199</v>
      </c>
      <c r="C60">
        <v>10185412162</v>
      </c>
      <c r="D60">
        <v>754846740.29999995</v>
      </c>
      <c r="E60">
        <v>24373958388</v>
      </c>
      <c r="F60">
        <v>59331553465</v>
      </c>
      <c r="G60">
        <v>34957595076</v>
      </c>
      <c r="H60">
        <v>1.2722517719999999</v>
      </c>
      <c r="I60">
        <v>2.1593211389999998</v>
      </c>
      <c r="J60">
        <v>0.69724357000000003</v>
      </c>
    </row>
    <row r="61" spans="1:10" x14ac:dyDescent="0.25">
      <c r="A61" t="s">
        <v>11</v>
      </c>
      <c r="B61" s="1">
        <v>45291</v>
      </c>
      <c r="C61">
        <v>8282175431</v>
      </c>
      <c r="D61">
        <v>459390813.5</v>
      </c>
      <c r="E61">
        <v>28551545477</v>
      </c>
      <c r="F61">
        <v>64407150986</v>
      </c>
      <c r="G61">
        <v>35855605509</v>
      </c>
      <c r="H61">
        <v>0.71326057200000004</v>
      </c>
      <c r="I61">
        <v>1.2812245310000001</v>
      </c>
      <c r="J61">
        <v>0.79629238099999999</v>
      </c>
    </row>
    <row r="62" spans="1:10" x14ac:dyDescent="0.25">
      <c r="A62" t="s">
        <v>11</v>
      </c>
      <c r="B62" s="1">
        <v>45382</v>
      </c>
      <c r="C62">
        <v>15785741204</v>
      </c>
      <c r="D62">
        <v>1106822544</v>
      </c>
      <c r="E62">
        <v>13225063565</v>
      </c>
      <c r="F62">
        <v>51661794785</v>
      </c>
      <c r="G62">
        <v>38436731220</v>
      </c>
      <c r="H62">
        <v>2.1424392019999998</v>
      </c>
      <c r="I62">
        <v>2.8795959199999999</v>
      </c>
      <c r="J62">
        <v>0.34407357599999999</v>
      </c>
    </row>
    <row r="63" spans="1:10" x14ac:dyDescent="0.25">
      <c r="A63" t="s">
        <v>11</v>
      </c>
      <c r="B63" s="1">
        <v>45473</v>
      </c>
      <c r="C63">
        <v>9018099865</v>
      </c>
      <c r="D63">
        <v>963180373.70000005</v>
      </c>
      <c r="E63">
        <v>36993263217</v>
      </c>
      <c r="F63">
        <v>49531602468</v>
      </c>
      <c r="G63">
        <v>12538339252</v>
      </c>
      <c r="H63">
        <v>1.944577453</v>
      </c>
      <c r="I63">
        <v>7.6818815819999999</v>
      </c>
      <c r="J63">
        <v>2.950411731</v>
      </c>
    </row>
    <row r="64" spans="1:10" x14ac:dyDescent="0.25">
      <c r="A64" t="s">
        <v>11</v>
      </c>
      <c r="B64" s="1">
        <v>45565</v>
      </c>
      <c r="C64">
        <v>11691964631</v>
      </c>
      <c r="D64">
        <v>1345578064</v>
      </c>
      <c r="E64">
        <v>24477801438</v>
      </c>
      <c r="F64">
        <v>72482874961</v>
      </c>
      <c r="G64">
        <v>48005073523</v>
      </c>
      <c r="H64">
        <v>1.856408241</v>
      </c>
      <c r="I64">
        <v>2.8029913629999998</v>
      </c>
      <c r="J64">
        <v>0.50990030099999994</v>
      </c>
    </row>
    <row r="65" spans="1:10" x14ac:dyDescent="0.25">
      <c r="A65" t="s">
        <v>11</v>
      </c>
      <c r="B65" s="1">
        <v>45657</v>
      </c>
      <c r="C65">
        <v>8451674463</v>
      </c>
      <c r="D65">
        <v>530013312.60000002</v>
      </c>
      <c r="E65">
        <v>43381572844</v>
      </c>
      <c r="F65">
        <v>83248031989</v>
      </c>
      <c r="G65">
        <v>39866459145</v>
      </c>
      <c r="H65">
        <v>0.63666767800000001</v>
      </c>
      <c r="I65">
        <v>1.329471751</v>
      </c>
      <c r="J65">
        <v>1.0881722069999999</v>
      </c>
    </row>
    <row r="66" spans="1:10" x14ac:dyDescent="0.25">
      <c r="A66" t="s">
        <v>12</v>
      </c>
      <c r="B66" s="1">
        <v>42825</v>
      </c>
      <c r="C66">
        <v>9164246774</v>
      </c>
      <c r="D66">
        <v>981041952.60000002</v>
      </c>
      <c r="E66">
        <v>19407851173</v>
      </c>
      <c r="F66">
        <v>43999960378</v>
      </c>
      <c r="G66">
        <v>24592109205</v>
      </c>
      <c r="H66">
        <v>2.229642809</v>
      </c>
      <c r="I66">
        <v>3.989255027</v>
      </c>
      <c r="J66">
        <v>0.78919018299999999</v>
      </c>
    </row>
    <row r="67" spans="1:10" x14ac:dyDescent="0.25">
      <c r="A67" t="s">
        <v>12</v>
      </c>
      <c r="B67" s="1">
        <v>42916</v>
      </c>
      <c r="C67">
        <v>14340884258</v>
      </c>
      <c r="D67">
        <v>1865680236</v>
      </c>
      <c r="E67">
        <v>22448503705</v>
      </c>
      <c r="F67">
        <v>35401436947</v>
      </c>
      <c r="G67">
        <v>12952933241</v>
      </c>
      <c r="H67">
        <v>5.2700692330000001</v>
      </c>
      <c r="I67">
        <v>14.40353472</v>
      </c>
      <c r="J67">
        <v>1.7330826370000001</v>
      </c>
    </row>
    <row r="68" spans="1:10" x14ac:dyDescent="0.25">
      <c r="A68" t="s">
        <v>12</v>
      </c>
      <c r="B68" s="1">
        <v>43008</v>
      </c>
      <c r="C68">
        <v>7168009253</v>
      </c>
      <c r="D68">
        <v>373428560.19999999</v>
      </c>
      <c r="E68">
        <v>15187122059</v>
      </c>
      <c r="F68">
        <v>38651159578</v>
      </c>
      <c r="G68">
        <v>23464037519</v>
      </c>
      <c r="H68">
        <v>0.96615098799999999</v>
      </c>
      <c r="I68">
        <v>1.5914931940000001</v>
      </c>
      <c r="J68">
        <v>0.64725101299999999</v>
      </c>
    </row>
    <row r="69" spans="1:10" x14ac:dyDescent="0.25">
      <c r="A69" t="s">
        <v>12</v>
      </c>
      <c r="B69" s="1">
        <v>43100</v>
      </c>
      <c r="C69">
        <v>19458831198</v>
      </c>
      <c r="D69">
        <v>1600107100</v>
      </c>
      <c r="E69">
        <v>48538978480</v>
      </c>
      <c r="F69">
        <v>69583711255</v>
      </c>
      <c r="G69">
        <v>21044732775</v>
      </c>
      <c r="H69">
        <v>2.2995426239999999</v>
      </c>
      <c r="I69">
        <v>7.6033614519999997</v>
      </c>
      <c r="J69">
        <v>2.3064668479999999</v>
      </c>
    </row>
    <row r="70" spans="1:10" x14ac:dyDescent="0.25">
      <c r="A70" t="s">
        <v>12</v>
      </c>
      <c r="B70" s="1">
        <v>43190</v>
      </c>
      <c r="C70">
        <v>17610247426</v>
      </c>
      <c r="D70">
        <v>2015329868</v>
      </c>
      <c r="E70">
        <v>40259793264</v>
      </c>
      <c r="F70">
        <v>68504291957</v>
      </c>
      <c r="G70">
        <v>28244498693</v>
      </c>
      <c r="H70">
        <v>2.94190307</v>
      </c>
      <c r="I70">
        <v>7.1353005410000003</v>
      </c>
      <c r="J70">
        <v>1.425403003</v>
      </c>
    </row>
    <row r="71" spans="1:10" x14ac:dyDescent="0.25">
      <c r="A71" t="s">
        <v>12</v>
      </c>
      <c r="B71" s="1">
        <v>43281</v>
      </c>
      <c r="C71">
        <v>11661846976</v>
      </c>
      <c r="D71">
        <v>1354192659</v>
      </c>
      <c r="E71">
        <v>23626577882</v>
      </c>
      <c r="F71">
        <v>54731462963</v>
      </c>
      <c r="G71">
        <v>31104885082</v>
      </c>
      <c r="H71">
        <v>2.4742489700000001</v>
      </c>
      <c r="I71">
        <v>4.3536333760000003</v>
      </c>
      <c r="J71">
        <v>0.75957772599999995</v>
      </c>
    </row>
    <row r="72" spans="1:10" x14ac:dyDescent="0.25">
      <c r="A72" t="s">
        <v>12</v>
      </c>
      <c r="B72" s="1">
        <v>43373</v>
      </c>
      <c r="C72">
        <v>10545031789</v>
      </c>
      <c r="D72">
        <v>1010594241</v>
      </c>
      <c r="E72">
        <v>33534009371</v>
      </c>
      <c r="F72">
        <v>63852779536</v>
      </c>
      <c r="G72">
        <v>30318770165</v>
      </c>
      <c r="H72">
        <v>1.582694204</v>
      </c>
      <c r="I72">
        <v>3.3332296640000001</v>
      </c>
      <c r="J72">
        <v>1.106047811</v>
      </c>
    </row>
    <row r="73" spans="1:10" x14ac:dyDescent="0.25">
      <c r="A73" t="s">
        <v>12</v>
      </c>
      <c r="B73" s="1">
        <v>43465</v>
      </c>
      <c r="C73">
        <v>11358222175</v>
      </c>
      <c r="D73">
        <v>1091045445</v>
      </c>
      <c r="E73">
        <v>25112465464</v>
      </c>
      <c r="F73">
        <v>47584136480</v>
      </c>
      <c r="G73">
        <v>22471671016</v>
      </c>
      <c r="H73">
        <v>2.2928764199999998</v>
      </c>
      <c r="I73">
        <v>4.8552038880000001</v>
      </c>
      <c r="J73">
        <v>1.1175166030000001</v>
      </c>
    </row>
    <row r="74" spans="1:10" x14ac:dyDescent="0.25">
      <c r="A74" t="s">
        <v>12</v>
      </c>
      <c r="B74" s="1">
        <v>43555</v>
      </c>
      <c r="C74">
        <v>11744716344</v>
      </c>
      <c r="D74">
        <v>1284599881</v>
      </c>
      <c r="E74">
        <v>31388781794</v>
      </c>
      <c r="F74">
        <v>60735397643</v>
      </c>
      <c r="G74">
        <v>29346615849</v>
      </c>
      <c r="H74">
        <v>2.1150761029999998</v>
      </c>
      <c r="I74">
        <v>4.3773356630000002</v>
      </c>
      <c r="J74">
        <v>1.069587783</v>
      </c>
    </row>
    <row r="75" spans="1:10" x14ac:dyDescent="0.25">
      <c r="A75" t="s">
        <v>12</v>
      </c>
      <c r="B75" s="1">
        <v>43646</v>
      </c>
      <c r="C75">
        <v>9612688482</v>
      </c>
      <c r="D75">
        <v>1071424359</v>
      </c>
      <c r="E75">
        <v>26052899280</v>
      </c>
      <c r="F75">
        <v>55802879567</v>
      </c>
      <c r="G75">
        <v>29749980287</v>
      </c>
      <c r="H75">
        <v>1.9200162569999999</v>
      </c>
      <c r="I75">
        <v>3.6014288049999998</v>
      </c>
      <c r="J75">
        <v>0.87572828700000005</v>
      </c>
    </row>
    <row r="76" spans="1:10" x14ac:dyDescent="0.25">
      <c r="A76" t="s">
        <v>12</v>
      </c>
      <c r="B76" s="1">
        <v>43738</v>
      </c>
      <c r="C76">
        <v>13700664809</v>
      </c>
      <c r="D76">
        <v>892851810.70000005</v>
      </c>
      <c r="E76">
        <v>14820437742</v>
      </c>
      <c r="F76">
        <v>51140549989</v>
      </c>
      <c r="G76">
        <v>36320112247</v>
      </c>
      <c r="H76">
        <v>1.7458783899999999</v>
      </c>
      <c r="I76">
        <v>2.458284833</v>
      </c>
      <c r="J76">
        <v>0.40805043899999999</v>
      </c>
    </row>
    <row r="77" spans="1:10" x14ac:dyDescent="0.25">
      <c r="A77" t="s">
        <v>12</v>
      </c>
      <c r="B77" s="1">
        <v>43830</v>
      </c>
      <c r="C77">
        <v>15508664175</v>
      </c>
      <c r="D77">
        <v>1417702229</v>
      </c>
      <c r="E77">
        <v>18132341778</v>
      </c>
      <c r="F77">
        <v>46620472331</v>
      </c>
      <c r="G77">
        <v>28488130553</v>
      </c>
      <c r="H77">
        <v>3.0409435139999998</v>
      </c>
      <c r="I77">
        <v>4.9764663450000004</v>
      </c>
      <c r="J77">
        <v>0.63648759799999999</v>
      </c>
    </row>
    <row r="78" spans="1:10" x14ac:dyDescent="0.25">
      <c r="A78" t="s">
        <v>12</v>
      </c>
      <c r="B78" s="1">
        <v>43921</v>
      </c>
      <c r="C78">
        <v>9263668849</v>
      </c>
      <c r="D78">
        <v>635671166.79999995</v>
      </c>
      <c r="E78">
        <v>12187372783</v>
      </c>
      <c r="F78">
        <v>46576570031</v>
      </c>
      <c r="G78">
        <v>34389197248</v>
      </c>
      <c r="H78">
        <v>1.364787416</v>
      </c>
      <c r="I78">
        <v>1.8484617780000001</v>
      </c>
      <c r="J78">
        <v>0.35439538500000001</v>
      </c>
    </row>
    <row r="79" spans="1:10" x14ac:dyDescent="0.25">
      <c r="A79" t="s">
        <v>12</v>
      </c>
      <c r="B79" s="1">
        <v>44012</v>
      </c>
      <c r="C79">
        <v>13787621203</v>
      </c>
      <c r="D79">
        <v>1605393739</v>
      </c>
      <c r="E79">
        <v>33743352626</v>
      </c>
      <c r="F79">
        <v>56826390011</v>
      </c>
      <c r="G79">
        <v>23083037385</v>
      </c>
      <c r="H79">
        <v>2.8250848579999999</v>
      </c>
      <c r="I79">
        <v>6.9548634900000001</v>
      </c>
      <c r="J79">
        <v>1.4618246319999999</v>
      </c>
    </row>
    <row r="80" spans="1:10" x14ac:dyDescent="0.25">
      <c r="A80" t="s">
        <v>12</v>
      </c>
      <c r="B80" s="1">
        <v>44104</v>
      </c>
      <c r="C80">
        <v>18005946710</v>
      </c>
      <c r="D80">
        <v>2292027552</v>
      </c>
      <c r="E80">
        <v>30114206666</v>
      </c>
      <c r="F80">
        <v>72398006770</v>
      </c>
      <c r="G80">
        <v>42283800104</v>
      </c>
      <c r="H80">
        <v>3.1658710700000001</v>
      </c>
      <c r="I80">
        <v>5.4205808040000001</v>
      </c>
      <c r="J80">
        <v>0.71219253199999999</v>
      </c>
    </row>
    <row r="81" spans="1:10" x14ac:dyDescent="0.25">
      <c r="A81" t="s">
        <v>12</v>
      </c>
      <c r="B81" s="1">
        <v>44196</v>
      </c>
      <c r="C81">
        <v>10098889889</v>
      </c>
      <c r="D81">
        <v>1161225924</v>
      </c>
      <c r="E81">
        <v>39497490703</v>
      </c>
      <c r="F81">
        <v>77791788915</v>
      </c>
      <c r="G81">
        <v>38294298213</v>
      </c>
      <c r="H81">
        <v>1.4927358529999999</v>
      </c>
      <c r="I81">
        <v>3.0323729080000001</v>
      </c>
      <c r="J81">
        <v>1.0314196250000001</v>
      </c>
    </row>
    <row r="82" spans="1:10" x14ac:dyDescent="0.25">
      <c r="A82" t="s">
        <v>12</v>
      </c>
      <c r="B82" s="1">
        <v>44286</v>
      </c>
      <c r="C82">
        <v>8226780982</v>
      </c>
      <c r="D82">
        <v>522858114.5</v>
      </c>
      <c r="E82">
        <v>39148815906</v>
      </c>
      <c r="F82">
        <v>54906293986</v>
      </c>
      <c r="G82">
        <v>15757478080</v>
      </c>
      <c r="H82">
        <v>0.95227354900000005</v>
      </c>
      <c r="I82">
        <v>3.3181586030000001</v>
      </c>
      <c r="J82">
        <v>2.4844594870000001</v>
      </c>
    </row>
    <row r="83" spans="1:10" x14ac:dyDescent="0.25">
      <c r="A83" t="s">
        <v>12</v>
      </c>
      <c r="B83" s="1">
        <v>44377</v>
      </c>
      <c r="C83">
        <v>17019949886</v>
      </c>
      <c r="D83">
        <v>2402780363</v>
      </c>
      <c r="E83">
        <v>10477167725</v>
      </c>
      <c r="F83">
        <v>40916062724</v>
      </c>
      <c r="G83">
        <v>30438894999</v>
      </c>
      <c r="H83">
        <v>5.8724623129999998</v>
      </c>
      <c r="I83">
        <v>7.8937831459999996</v>
      </c>
      <c r="J83">
        <v>0.34420328700000002</v>
      </c>
    </row>
    <row r="84" spans="1:10" x14ac:dyDescent="0.25">
      <c r="A84" t="s">
        <v>12</v>
      </c>
      <c r="B84" s="1">
        <v>44469</v>
      </c>
      <c r="C84">
        <v>11073630310</v>
      </c>
      <c r="D84">
        <v>912822455.70000005</v>
      </c>
      <c r="E84">
        <v>49692687138</v>
      </c>
      <c r="F84">
        <v>70778247625</v>
      </c>
      <c r="G84">
        <v>21085560486</v>
      </c>
      <c r="H84">
        <v>1.2896934950000001</v>
      </c>
      <c r="I84">
        <v>4.3291353639999999</v>
      </c>
      <c r="J84">
        <v>2.3567164439999999</v>
      </c>
    </row>
    <row r="85" spans="1:10" x14ac:dyDescent="0.25">
      <c r="A85" t="s">
        <v>12</v>
      </c>
      <c r="B85" s="1">
        <v>44561</v>
      </c>
      <c r="C85">
        <v>9380555380</v>
      </c>
      <c r="D85">
        <v>1350100953</v>
      </c>
      <c r="E85">
        <v>41223028779</v>
      </c>
      <c r="F85">
        <v>68933524997</v>
      </c>
      <c r="G85">
        <v>27710496218</v>
      </c>
      <c r="H85">
        <v>1.95855493</v>
      </c>
      <c r="I85">
        <v>4.8721644749999999</v>
      </c>
      <c r="J85">
        <v>1.487632284</v>
      </c>
    </row>
    <row r="86" spans="1:10" x14ac:dyDescent="0.25">
      <c r="A86" t="s">
        <v>12</v>
      </c>
      <c r="B86" s="1">
        <v>44651</v>
      </c>
      <c r="C86">
        <v>16640634818</v>
      </c>
      <c r="D86">
        <v>2400803163</v>
      </c>
      <c r="E86">
        <v>16356578486</v>
      </c>
      <c r="F86">
        <v>32583061956</v>
      </c>
      <c r="G86">
        <v>16226483469</v>
      </c>
      <c r="H86">
        <v>7.3682552179999998</v>
      </c>
      <c r="I86">
        <v>14.79558505</v>
      </c>
      <c r="J86">
        <v>1.0080174500000001</v>
      </c>
    </row>
    <row r="87" spans="1:10" x14ac:dyDescent="0.25">
      <c r="A87" t="s">
        <v>12</v>
      </c>
      <c r="B87" s="1">
        <v>44742</v>
      </c>
      <c r="C87">
        <v>8089768870</v>
      </c>
      <c r="D87">
        <v>488084935.30000001</v>
      </c>
      <c r="E87">
        <v>45657380068</v>
      </c>
      <c r="F87">
        <v>93604660446</v>
      </c>
      <c r="G87">
        <v>47947280377</v>
      </c>
      <c r="H87">
        <v>0.52143230200000001</v>
      </c>
      <c r="I87">
        <v>1.0179616680000001</v>
      </c>
      <c r="J87">
        <v>0.95224128900000005</v>
      </c>
    </row>
    <row r="88" spans="1:10" x14ac:dyDescent="0.25">
      <c r="A88" t="s">
        <v>12</v>
      </c>
      <c r="B88" s="1">
        <v>44834</v>
      </c>
      <c r="C88">
        <v>16931011156</v>
      </c>
      <c r="D88">
        <v>2086994153</v>
      </c>
      <c r="E88">
        <v>18754849198</v>
      </c>
      <c r="F88">
        <v>52873275455</v>
      </c>
      <c r="G88">
        <v>34118426257</v>
      </c>
      <c r="H88">
        <v>3.9471625970000002</v>
      </c>
      <c r="I88">
        <v>6.1169121249999998</v>
      </c>
      <c r="J88">
        <v>0.54969854299999998</v>
      </c>
    </row>
    <row r="89" spans="1:10" x14ac:dyDescent="0.25">
      <c r="A89" t="s">
        <v>12</v>
      </c>
      <c r="B89" s="1">
        <v>44926</v>
      </c>
      <c r="C89">
        <v>16472180169</v>
      </c>
      <c r="D89">
        <v>2043609431</v>
      </c>
      <c r="E89">
        <v>34718393733</v>
      </c>
      <c r="F89">
        <v>62464433746</v>
      </c>
      <c r="G89">
        <v>27746040013</v>
      </c>
      <c r="H89">
        <v>3.2716368469999999</v>
      </c>
      <c r="I89">
        <v>7.3654093700000001</v>
      </c>
      <c r="J89">
        <v>1.2512918500000001</v>
      </c>
    </row>
    <row r="90" spans="1:10" x14ac:dyDescent="0.25">
      <c r="A90" t="s">
        <v>12</v>
      </c>
      <c r="B90" s="1">
        <v>45016</v>
      </c>
      <c r="C90">
        <v>14581130415</v>
      </c>
      <c r="D90">
        <v>1529637744</v>
      </c>
      <c r="E90">
        <v>32236390204</v>
      </c>
      <c r="F90">
        <v>47068791910</v>
      </c>
      <c r="G90">
        <v>14832401705</v>
      </c>
      <c r="H90">
        <v>3.249791809</v>
      </c>
      <c r="I90">
        <v>10.312812279999999</v>
      </c>
      <c r="J90">
        <v>2.1733762909999998</v>
      </c>
    </row>
    <row r="91" spans="1:10" x14ac:dyDescent="0.25">
      <c r="A91" t="s">
        <v>12</v>
      </c>
      <c r="B91" s="1">
        <v>45107</v>
      </c>
      <c r="C91">
        <v>5318114486</v>
      </c>
      <c r="D91">
        <v>431100966</v>
      </c>
      <c r="E91">
        <v>42312531626</v>
      </c>
      <c r="F91">
        <v>58725506361</v>
      </c>
      <c r="G91">
        <v>16412974734</v>
      </c>
      <c r="H91">
        <v>0.73409493199999998</v>
      </c>
      <c r="I91">
        <v>2.626586423</v>
      </c>
      <c r="J91">
        <v>2.5779928569999999</v>
      </c>
    </row>
    <row r="92" spans="1:10" x14ac:dyDescent="0.25">
      <c r="A92" t="s">
        <v>12</v>
      </c>
      <c r="B92" s="1">
        <v>45199</v>
      </c>
      <c r="C92">
        <v>19814938566</v>
      </c>
      <c r="D92">
        <v>1836312727</v>
      </c>
      <c r="E92">
        <v>18499451286</v>
      </c>
      <c r="F92">
        <v>30329911272</v>
      </c>
      <c r="G92">
        <v>11830459986</v>
      </c>
      <c r="H92">
        <v>6.0544612569999998</v>
      </c>
      <c r="I92">
        <v>15.52190472</v>
      </c>
      <c r="J92">
        <v>1.5637136089999999</v>
      </c>
    </row>
    <row r="93" spans="1:10" x14ac:dyDescent="0.25">
      <c r="A93" t="s">
        <v>12</v>
      </c>
      <c r="B93" s="1">
        <v>45291</v>
      </c>
      <c r="C93">
        <v>13941085692</v>
      </c>
      <c r="D93">
        <v>1722322782</v>
      </c>
      <c r="E93">
        <v>32850325731</v>
      </c>
      <c r="F93">
        <v>66248470463</v>
      </c>
      <c r="G93">
        <v>33398144732</v>
      </c>
      <c r="H93">
        <v>2.5997925230000001</v>
      </c>
      <c r="I93">
        <v>5.1569414870000001</v>
      </c>
      <c r="J93">
        <v>0.98359732200000005</v>
      </c>
    </row>
    <row r="94" spans="1:10" x14ac:dyDescent="0.25">
      <c r="A94" t="s">
        <v>12</v>
      </c>
      <c r="B94" s="1">
        <v>45382</v>
      </c>
      <c r="C94">
        <v>18801502624</v>
      </c>
      <c r="D94">
        <v>1006058196</v>
      </c>
      <c r="E94">
        <v>48264388990</v>
      </c>
      <c r="F94">
        <v>86904149774</v>
      </c>
      <c r="G94">
        <v>38639760784</v>
      </c>
      <c r="H94">
        <v>1.157664161</v>
      </c>
      <c r="I94">
        <v>2.6036863979999998</v>
      </c>
      <c r="J94">
        <v>1.2490861230000001</v>
      </c>
    </row>
    <row r="95" spans="1:10" x14ac:dyDescent="0.25">
      <c r="A95" t="s">
        <v>12</v>
      </c>
      <c r="B95" s="1">
        <v>45473</v>
      </c>
      <c r="C95">
        <v>13059939771</v>
      </c>
      <c r="D95">
        <v>864826440.5</v>
      </c>
      <c r="E95">
        <v>21561018412</v>
      </c>
      <c r="F95">
        <v>57150274352</v>
      </c>
      <c r="G95">
        <v>35589255939</v>
      </c>
      <c r="H95">
        <v>1.5132498489999999</v>
      </c>
      <c r="I95">
        <v>2.4300211329999999</v>
      </c>
      <c r="J95">
        <v>0.60582942399999995</v>
      </c>
    </row>
    <row r="96" spans="1:10" x14ac:dyDescent="0.25">
      <c r="A96" t="s">
        <v>12</v>
      </c>
      <c r="B96" s="1">
        <v>45565</v>
      </c>
      <c r="C96">
        <v>16908879786</v>
      </c>
      <c r="D96">
        <v>1197174003</v>
      </c>
      <c r="E96">
        <v>48008203569</v>
      </c>
      <c r="F96">
        <v>67570965703</v>
      </c>
      <c r="G96">
        <v>19562762134</v>
      </c>
      <c r="H96">
        <v>1.7717284200000001</v>
      </c>
      <c r="I96">
        <v>6.11965731</v>
      </c>
      <c r="J96">
        <v>2.454060589</v>
      </c>
    </row>
    <row r="97" spans="1:10" x14ac:dyDescent="0.25">
      <c r="A97" t="s">
        <v>12</v>
      </c>
      <c r="B97" s="1">
        <v>45657</v>
      </c>
      <c r="C97">
        <v>7203400075</v>
      </c>
      <c r="D97">
        <v>631684017.89999998</v>
      </c>
      <c r="E97">
        <v>23852825717</v>
      </c>
      <c r="F97">
        <v>41830939577</v>
      </c>
      <c r="G97">
        <v>17978113860</v>
      </c>
      <c r="H97">
        <v>1.5100880459999999</v>
      </c>
      <c r="I97">
        <v>3.513627863</v>
      </c>
      <c r="J97">
        <v>1.3267701999999999</v>
      </c>
    </row>
    <row r="98" spans="1:10" x14ac:dyDescent="0.25">
      <c r="A98" t="s">
        <v>13</v>
      </c>
      <c r="B98" s="1">
        <v>42825</v>
      </c>
      <c r="C98">
        <v>18765462866</v>
      </c>
      <c r="D98">
        <v>1081539894</v>
      </c>
      <c r="E98">
        <v>34543581067</v>
      </c>
      <c r="F98">
        <v>80126669599</v>
      </c>
      <c r="G98">
        <v>45583088532</v>
      </c>
      <c r="H98">
        <v>1.3497876550000001</v>
      </c>
      <c r="I98">
        <v>2.3726779589999998</v>
      </c>
      <c r="J98">
        <v>0.75781571999999997</v>
      </c>
    </row>
    <row r="99" spans="1:10" x14ac:dyDescent="0.25">
      <c r="A99" t="s">
        <v>13</v>
      </c>
      <c r="B99" s="1">
        <v>42916</v>
      </c>
      <c r="C99">
        <v>10211703797</v>
      </c>
      <c r="D99">
        <v>526461438.30000001</v>
      </c>
      <c r="E99">
        <v>13575717212</v>
      </c>
      <c r="F99">
        <v>61177654063</v>
      </c>
      <c r="G99">
        <v>47601936851</v>
      </c>
      <c r="H99">
        <v>0.86054531899999998</v>
      </c>
      <c r="I99">
        <v>1.1059664229999999</v>
      </c>
      <c r="J99">
        <v>0.28519253900000002</v>
      </c>
    </row>
    <row r="100" spans="1:10" x14ac:dyDescent="0.25">
      <c r="A100" t="s">
        <v>13</v>
      </c>
      <c r="B100" s="1">
        <v>43008</v>
      </c>
      <c r="C100">
        <v>14824260103</v>
      </c>
      <c r="D100">
        <v>1856672009</v>
      </c>
      <c r="E100">
        <v>49769403556</v>
      </c>
      <c r="F100">
        <v>87097998229</v>
      </c>
      <c r="G100">
        <v>37328594673</v>
      </c>
      <c r="H100">
        <v>2.1317045700000001</v>
      </c>
      <c r="I100">
        <v>4.9738599189999997</v>
      </c>
      <c r="J100">
        <v>1.333278255</v>
      </c>
    </row>
    <row r="101" spans="1:10" x14ac:dyDescent="0.25">
      <c r="A101" t="s">
        <v>13</v>
      </c>
      <c r="B101" s="1">
        <v>43100</v>
      </c>
      <c r="C101">
        <v>18808147150</v>
      </c>
      <c r="D101">
        <v>960184349.60000002</v>
      </c>
      <c r="E101">
        <v>35382107627</v>
      </c>
      <c r="F101">
        <v>67327482638</v>
      </c>
      <c r="G101">
        <v>31945375011</v>
      </c>
      <c r="H101">
        <v>1.42614028</v>
      </c>
      <c r="I101">
        <v>3.0057069269999999</v>
      </c>
      <c r="J101">
        <v>1.1075815389999999</v>
      </c>
    </row>
    <row r="102" spans="1:10" x14ac:dyDescent="0.25">
      <c r="A102" t="s">
        <v>13</v>
      </c>
      <c r="B102" s="1">
        <v>43190</v>
      </c>
      <c r="C102">
        <v>7335760537</v>
      </c>
      <c r="D102">
        <v>743322627.70000005</v>
      </c>
      <c r="E102">
        <v>48776154787</v>
      </c>
      <c r="F102">
        <v>95122657900</v>
      </c>
      <c r="G102">
        <v>46346503113</v>
      </c>
      <c r="H102">
        <v>0.78143593099999997</v>
      </c>
      <c r="I102">
        <v>1.6038375659999999</v>
      </c>
      <c r="J102">
        <v>1.052423624</v>
      </c>
    </row>
    <row r="103" spans="1:10" x14ac:dyDescent="0.25">
      <c r="A103" t="s">
        <v>13</v>
      </c>
      <c r="B103" s="1">
        <v>43281</v>
      </c>
      <c r="C103">
        <v>17315578796</v>
      </c>
      <c r="D103">
        <v>1167741135</v>
      </c>
      <c r="E103">
        <v>16852576890</v>
      </c>
      <c r="F103">
        <v>50991540077</v>
      </c>
      <c r="G103">
        <v>34138963187</v>
      </c>
      <c r="H103">
        <v>2.290068378</v>
      </c>
      <c r="I103">
        <v>3.4205524299999999</v>
      </c>
      <c r="J103">
        <v>0.49364641799999998</v>
      </c>
    </row>
    <row r="104" spans="1:10" x14ac:dyDescent="0.25">
      <c r="A104" t="s">
        <v>13</v>
      </c>
      <c r="B104" s="1">
        <v>43373</v>
      </c>
      <c r="C104">
        <v>5647276212</v>
      </c>
      <c r="D104">
        <v>430192893.60000002</v>
      </c>
      <c r="E104">
        <v>49486716701</v>
      </c>
      <c r="F104">
        <v>66912699732</v>
      </c>
      <c r="G104">
        <v>17425983031</v>
      </c>
      <c r="H104">
        <v>0.64291665899999995</v>
      </c>
      <c r="I104">
        <v>2.4686865170000001</v>
      </c>
      <c r="J104">
        <v>2.8398235330000001</v>
      </c>
    </row>
    <row r="105" spans="1:10" x14ac:dyDescent="0.25">
      <c r="A105" t="s">
        <v>13</v>
      </c>
      <c r="B105" s="1">
        <v>43465</v>
      </c>
      <c r="C105">
        <v>6557505339</v>
      </c>
      <c r="D105">
        <v>618883604.89999998</v>
      </c>
      <c r="E105">
        <v>33315961378</v>
      </c>
      <c r="F105">
        <v>60538144207</v>
      </c>
      <c r="G105">
        <v>27222182829</v>
      </c>
      <c r="H105">
        <v>1.0223035620000001</v>
      </c>
      <c r="I105">
        <v>2.2734532669999998</v>
      </c>
      <c r="J105">
        <v>1.2238534139999999</v>
      </c>
    </row>
    <row r="106" spans="1:10" x14ac:dyDescent="0.25">
      <c r="A106" t="s">
        <v>13</v>
      </c>
      <c r="B106" s="1">
        <v>43555</v>
      </c>
      <c r="C106">
        <v>15132523755</v>
      </c>
      <c r="D106">
        <v>1022601951</v>
      </c>
      <c r="E106">
        <v>38023980809</v>
      </c>
      <c r="F106">
        <v>86825852703</v>
      </c>
      <c r="G106">
        <v>48801871894</v>
      </c>
      <c r="H106">
        <v>1.177762059</v>
      </c>
      <c r="I106">
        <v>2.095415424</v>
      </c>
      <c r="J106">
        <v>0.77915004799999998</v>
      </c>
    </row>
    <row r="107" spans="1:10" x14ac:dyDescent="0.25">
      <c r="A107" t="s">
        <v>13</v>
      </c>
      <c r="B107" s="1">
        <v>43646</v>
      </c>
      <c r="C107">
        <v>13411319092</v>
      </c>
      <c r="D107">
        <v>782523298.89999998</v>
      </c>
      <c r="E107">
        <v>19531535755</v>
      </c>
      <c r="F107">
        <v>37657712776</v>
      </c>
      <c r="G107">
        <v>18126177021</v>
      </c>
      <c r="H107">
        <v>2.0779894510000001</v>
      </c>
      <c r="I107">
        <v>4.317089577</v>
      </c>
      <c r="J107">
        <v>1.0775319990000001</v>
      </c>
    </row>
    <row r="108" spans="1:10" x14ac:dyDescent="0.25">
      <c r="A108" t="s">
        <v>13</v>
      </c>
      <c r="B108" s="1">
        <v>43738</v>
      </c>
      <c r="C108">
        <v>8103350227</v>
      </c>
      <c r="D108">
        <v>738019784.60000002</v>
      </c>
      <c r="E108">
        <v>20380748219</v>
      </c>
      <c r="F108">
        <v>31832927467</v>
      </c>
      <c r="G108">
        <v>11452179248</v>
      </c>
      <c r="H108">
        <v>2.3184163170000001</v>
      </c>
      <c r="I108">
        <v>6.4443611010000001</v>
      </c>
      <c r="J108">
        <v>1.779639296</v>
      </c>
    </row>
    <row r="109" spans="1:10" x14ac:dyDescent="0.25">
      <c r="A109" t="s">
        <v>13</v>
      </c>
      <c r="B109" s="1">
        <v>43830</v>
      </c>
      <c r="C109">
        <v>8859340166</v>
      </c>
      <c r="D109">
        <v>1144565565</v>
      </c>
      <c r="E109">
        <v>40538252302</v>
      </c>
      <c r="F109">
        <v>78168514026</v>
      </c>
      <c r="G109">
        <v>37630261724</v>
      </c>
      <c r="H109">
        <v>1.464228377</v>
      </c>
      <c r="I109">
        <v>3.0416093649999998</v>
      </c>
      <c r="J109">
        <v>1.077277979</v>
      </c>
    </row>
    <row r="110" spans="1:10" x14ac:dyDescent="0.25">
      <c r="A110" t="s">
        <v>13</v>
      </c>
      <c r="B110" s="1">
        <v>43921</v>
      </c>
      <c r="C110">
        <v>12864732630</v>
      </c>
      <c r="D110">
        <v>1045458883</v>
      </c>
      <c r="E110">
        <v>40800355871</v>
      </c>
      <c r="F110">
        <v>78928197945</v>
      </c>
      <c r="G110">
        <v>38127842074</v>
      </c>
      <c r="H110">
        <v>1.324569559</v>
      </c>
      <c r="I110">
        <v>2.7419828310000001</v>
      </c>
      <c r="J110">
        <v>1.070093497</v>
      </c>
    </row>
    <row r="111" spans="1:10" x14ac:dyDescent="0.25">
      <c r="A111" t="s">
        <v>13</v>
      </c>
      <c r="B111" s="1">
        <v>44012</v>
      </c>
      <c r="C111">
        <v>19909637251</v>
      </c>
      <c r="D111">
        <v>2732548048</v>
      </c>
      <c r="E111">
        <v>15058770523</v>
      </c>
      <c r="F111">
        <v>36892503606</v>
      </c>
      <c r="G111">
        <v>21833733082</v>
      </c>
      <c r="H111">
        <v>7.4067839820000003</v>
      </c>
      <c r="I111">
        <v>12.5152581</v>
      </c>
      <c r="J111">
        <v>0.68970205299999998</v>
      </c>
    </row>
    <row r="112" spans="1:10" x14ac:dyDescent="0.25">
      <c r="A112" t="s">
        <v>13</v>
      </c>
      <c r="B112" s="1">
        <v>44104</v>
      </c>
      <c r="C112">
        <v>9482010377</v>
      </c>
      <c r="D112">
        <v>803442750.39999998</v>
      </c>
      <c r="E112">
        <v>46174948427</v>
      </c>
      <c r="F112">
        <v>92567055368</v>
      </c>
      <c r="G112">
        <v>46392106941</v>
      </c>
      <c r="H112">
        <v>0.86795755500000005</v>
      </c>
      <c r="I112">
        <v>1.731852256</v>
      </c>
      <c r="J112">
        <v>0.99531906299999995</v>
      </c>
    </row>
    <row r="113" spans="1:10" x14ac:dyDescent="0.25">
      <c r="A113" t="s">
        <v>13</v>
      </c>
      <c r="B113" s="1">
        <v>44196</v>
      </c>
      <c r="C113">
        <v>6940311223</v>
      </c>
      <c r="D113">
        <v>962499322.10000002</v>
      </c>
      <c r="E113">
        <v>29150494667</v>
      </c>
      <c r="F113">
        <v>41331347093</v>
      </c>
      <c r="G113">
        <v>12180852427</v>
      </c>
      <c r="H113">
        <v>2.3287392979999999</v>
      </c>
      <c r="I113">
        <v>7.901740276</v>
      </c>
      <c r="J113">
        <v>2.3931407789999999</v>
      </c>
    </row>
    <row r="114" spans="1:10" x14ac:dyDescent="0.25">
      <c r="A114" t="s">
        <v>13</v>
      </c>
      <c r="B114" s="1">
        <v>44286</v>
      </c>
      <c r="C114">
        <v>8417325544</v>
      </c>
      <c r="D114">
        <v>742678238</v>
      </c>
      <c r="E114">
        <v>36333752143</v>
      </c>
      <c r="F114">
        <v>50307101979</v>
      </c>
      <c r="G114">
        <v>13973349836</v>
      </c>
      <c r="H114">
        <v>1.4762890500000001</v>
      </c>
      <c r="I114">
        <v>5.3149620290000001</v>
      </c>
      <c r="J114">
        <v>2.6002177409999998</v>
      </c>
    </row>
    <row r="115" spans="1:10" x14ac:dyDescent="0.25">
      <c r="A115" t="s">
        <v>13</v>
      </c>
      <c r="B115" s="1">
        <v>44377</v>
      </c>
      <c r="C115">
        <v>12011483364</v>
      </c>
      <c r="D115">
        <v>1571388192</v>
      </c>
      <c r="E115">
        <v>16704351188</v>
      </c>
      <c r="F115">
        <v>36319540470</v>
      </c>
      <c r="G115">
        <v>19615189283</v>
      </c>
      <c r="H115">
        <v>4.3265640809999999</v>
      </c>
      <c r="I115">
        <v>8.0110784020000008</v>
      </c>
      <c r="J115">
        <v>0.85160285499999999</v>
      </c>
    </row>
    <row r="116" spans="1:10" x14ac:dyDescent="0.25">
      <c r="A116" t="s">
        <v>13</v>
      </c>
      <c r="B116" s="1">
        <v>44469</v>
      </c>
      <c r="C116">
        <v>14132310152</v>
      </c>
      <c r="D116">
        <v>1250503703</v>
      </c>
      <c r="E116">
        <v>34109472155</v>
      </c>
      <c r="F116">
        <v>60179867780</v>
      </c>
      <c r="G116">
        <v>26070395624</v>
      </c>
      <c r="H116">
        <v>2.077943587</v>
      </c>
      <c r="I116">
        <v>4.7966426020000004</v>
      </c>
      <c r="J116">
        <v>1.3083603580000001</v>
      </c>
    </row>
    <row r="117" spans="1:10" x14ac:dyDescent="0.25">
      <c r="A117" t="s">
        <v>13</v>
      </c>
      <c r="B117" s="1">
        <v>44561</v>
      </c>
      <c r="C117">
        <v>18321682480</v>
      </c>
      <c r="D117">
        <v>1436804767</v>
      </c>
      <c r="E117">
        <v>33230894855</v>
      </c>
      <c r="F117">
        <v>73659285546</v>
      </c>
      <c r="G117">
        <v>40428390691</v>
      </c>
      <c r="H117">
        <v>1.9506091539999999</v>
      </c>
      <c r="I117">
        <v>3.5539499399999999</v>
      </c>
      <c r="J117">
        <v>0.82196927200000003</v>
      </c>
    </row>
    <row r="118" spans="1:10" x14ac:dyDescent="0.25">
      <c r="A118" t="s">
        <v>13</v>
      </c>
      <c r="B118" s="1">
        <v>44651</v>
      </c>
      <c r="C118">
        <v>11652663475</v>
      </c>
      <c r="D118">
        <v>1123917078</v>
      </c>
      <c r="E118">
        <v>30713910663</v>
      </c>
      <c r="F118">
        <v>55316480279</v>
      </c>
      <c r="G118">
        <v>24602569617</v>
      </c>
      <c r="H118">
        <v>2.031794272</v>
      </c>
      <c r="I118">
        <v>4.5682914229999998</v>
      </c>
      <c r="J118">
        <v>1.2484025510000001</v>
      </c>
    </row>
    <row r="119" spans="1:10" x14ac:dyDescent="0.25">
      <c r="A119" t="s">
        <v>13</v>
      </c>
      <c r="B119" s="1">
        <v>44742</v>
      </c>
      <c r="C119">
        <v>11584036388</v>
      </c>
      <c r="D119">
        <v>1399147461</v>
      </c>
      <c r="E119">
        <v>22546412228</v>
      </c>
      <c r="F119">
        <v>53277235987</v>
      </c>
      <c r="G119">
        <v>30730823758</v>
      </c>
      <c r="H119">
        <v>2.6261637549999999</v>
      </c>
      <c r="I119">
        <v>4.5529123199999999</v>
      </c>
      <c r="J119">
        <v>0.73367419</v>
      </c>
    </row>
    <row r="120" spans="1:10" x14ac:dyDescent="0.25">
      <c r="A120" t="s">
        <v>13</v>
      </c>
      <c r="B120" s="1">
        <v>44834</v>
      </c>
      <c r="C120">
        <v>18782382394</v>
      </c>
      <c r="D120">
        <v>1614997271</v>
      </c>
      <c r="E120">
        <v>25317192992</v>
      </c>
      <c r="F120">
        <v>38617124033</v>
      </c>
      <c r="G120">
        <v>13299931041</v>
      </c>
      <c r="H120">
        <v>4.18207547</v>
      </c>
      <c r="I120">
        <v>12.142899590000001</v>
      </c>
      <c r="J120">
        <v>1.9035582150000001</v>
      </c>
    </row>
    <row r="121" spans="1:10" x14ac:dyDescent="0.25">
      <c r="A121" t="s">
        <v>13</v>
      </c>
      <c r="B121" s="1">
        <v>44926</v>
      </c>
      <c r="C121">
        <v>7382434260</v>
      </c>
      <c r="D121">
        <v>1093800017</v>
      </c>
      <c r="E121">
        <v>35338248318</v>
      </c>
      <c r="F121">
        <v>45898916976</v>
      </c>
      <c r="G121">
        <v>10560668658</v>
      </c>
      <c r="H121">
        <v>2.383062802</v>
      </c>
      <c r="I121">
        <v>10.35729888</v>
      </c>
      <c r="J121">
        <v>3.3462131479999999</v>
      </c>
    </row>
    <row r="122" spans="1:10" x14ac:dyDescent="0.25">
      <c r="A122" t="s">
        <v>13</v>
      </c>
      <c r="B122" s="1">
        <v>45016</v>
      </c>
      <c r="C122">
        <v>19456335114</v>
      </c>
      <c r="D122">
        <v>2009563555</v>
      </c>
      <c r="E122">
        <v>47081333393</v>
      </c>
      <c r="F122">
        <v>64537094762</v>
      </c>
      <c r="G122">
        <v>17455761369</v>
      </c>
      <c r="H122">
        <v>3.1138116180000002</v>
      </c>
      <c r="I122">
        <v>11.512322559999999</v>
      </c>
      <c r="J122">
        <v>2.6971801690000001</v>
      </c>
    </row>
    <row r="123" spans="1:10" x14ac:dyDescent="0.25">
      <c r="A123" t="s">
        <v>13</v>
      </c>
      <c r="B123" s="1">
        <v>45107</v>
      </c>
      <c r="C123">
        <v>14368618381</v>
      </c>
      <c r="D123">
        <v>1533626886</v>
      </c>
      <c r="E123">
        <v>42361743521</v>
      </c>
      <c r="F123">
        <v>64353154119</v>
      </c>
      <c r="G123">
        <v>21991410599</v>
      </c>
      <c r="H123">
        <v>2.3831417539999999</v>
      </c>
      <c r="I123">
        <v>6.9737540439999997</v>
      </c>
      <c r="J123">
        <v>1.9262858709999999</v>
      </c>
    </row>
    <row r="124" spans="1:10" x14ac:dyDescent="0.25">
      <c r="A124" t="s">
        <v>13</v>
      </c>
      <c r="B124" s="1">
        <v>45199</v>
      </c>
      <c r="C124">
        <v>12729885504</v>
      </c>
      <c r="D124">
        <v>1804875257</v>
      </c>
      <c r="E124">
        <v>10865997336</v>
      </c>
      <c r="F124">
        <v>56007965536</v>
      </c>
      <c r="G124">
        <v>45141968200</v>
      </c>
      <c r="H124">
        <v>3.222533152</v>
      </c>
      <c r="I124">
        <v>3.9982201239999999</v>
      </c>
      <c r="J124">
        <v>0.240707213</v>
      </c>
    </row>
    <row r="125" spans="1:10" x14ac:dyDescent="0.25">
      <c r="A125" t="s">
        <v>13</v>
      </c>
      <c r="B125" s="1">
        <v>45291</v>
      </c>
      <c r="C125">
        <v>8469619625</v>
      </c>
      <c r="D125">
        <v>602960048.5</v>
      </c>
      <c r="E125">
        <v>32716601950</v>
      </c>
      <c r="F125">
        <v>78863289364</v>
      </c>
      <c r="G125">
        <v>46146687414</v>
      </c>
      <c r="H125">
        <v>0.76456365599999998</v>
      </c>
      <c r="I125">
        <v>1.3066161030000001</v>
      </c>
      <c r="J125">
        <v>0.70896967399999999</v>
      </c>
    </row>
    <row r="126" spans="1:10" x14ac:dyDescent="0.25">
      <c r="A126" t="s">
        <v>13</v>
      </c>
      <c r="B126" s="1">
        <v>45382</v>
      </c>
      <c r="C126">
        <v>15848632086</v>
      </c>
      <c r="D126">
        <v>2129654605</v>
      </c>
      <c r="E126">
        <v>38842203399</v>
      </c>
      <c r="F126">
        <v>87315704066</v>
      </c>
      <c r="G126">
        <v>48473500667</v>
      </c>
      <c r="H126">
        <v>2.4390281539999998</v>
      </c>
      <c r="I126">
        <v>4.393440901</v>
      </c>
      <c r="J126">
        <v>0.80130798999999997</v>
      </c>
    </row>
    <row r="127" spans="1:10" x14ac:dyDescent="0.25">
      <c r="A127" t="s">
        <v>13</v>
      </c>
      <c r="B127" s="1">
        <v>45473</v>
      </c>
      <c r="C127">
        <v>17928146832</v>
      </c>
      <c r="D127">
        <v>2182113657</v>
      </c>
      <c r="E127">
        <v>12109060417</v>
      </c>
      <c r="F127">
        <v>56333682316</v>
      </c>
      <c r="G127">
        <v>44224621899</v>
      </c>
      <c r="H127">
        <v>3.8735505429999999</v>
      </c>
      <c r="I127">
        <v>4.9341601209999997</v>
      </c>
      <c r="J127">
        <v>0.27380811599999999</v>
      </c>
    </row>
    <row r="128" spans="1:10" x14ac:dyDescent="0.25">
      <c r="A128" t="s">
        <v>13</v>
      </c>
      <c r="B128" s="1">
        <v>45565</v>
      </c>
      <c r="C128">
        <v>17989542164</v>
      </c>
      <c r="D128">
        <v>2639441820</v>
      </c>
      <c r="E128">
        <v>33643521649</v>
      </c>
      <c r="F128">
        <v>69399402463</v>
      </c>
      <c r="G128">
        <v>35755880815</v>
      </c>
      <c r="H128">
        <v>3.8032630350000001</v>
      </c>
      <c r="I128">
        <v>7.3818397429999996</v>
      </c>
      <c r="J128">
        <v>0.94092274799999998</v>
      </c>
    </row>
    <row r="129" spans="1:10" x14ac:dyDescent="0.25">
      <c r="A129" t="s">
        <v>13</v>
      </c>
      <c r="B129" s="1">
        <v>45657</v>
      </c>
      <c r="C129">
        <v>6152045684</v>
      </c>
      <c r="D129">
        <v>707968936.5</v>
      </c>
      <c r="E129">
        <v>29243056689</v>
      </c>
      <c r="F129">
        <v>57427208762</v>
      </c>
      <c r="G129">
        <v>28184152074</v>
      </c>
      <c r="H129">
        <v>1.2328109819999999</v>
      </c>
      <c r="I129">
        <v>2.511939811</v>
      </c>
      <c r="J129">
        <v>1.0375709230000001</v>
      </c>
    </row>
    <row r="130" spans="1:10" x14ac:dyDescent="0.25">
      <c r="A130" t="s">
        <v>14</v>
      </c>
      <c r="B130" s="1">
        <v>42825</v>
      </c>
      <c r="C130">
        <v>16836243798</v>
      </c>
      <c r="D130">
        <v>2100216671</v>
      </c>
      <c r="E130">
        <v>19360624506</v>
      </c>
      <c r="F130">
        <v>64506392372</v>
      </c>
      <c r="G130">
        <v>45145767866</v>
      </c>
      <c r="H130">
        <v>3.255827204</v>
      </c>
      <c r="I130">
        <v>4.6520787449999998</v>
      </c>
      <c r="J130">
        <v>0.42884694200000001</v>
      </c>
    </row>
    <row r="131" spans="1:10" x14ac:dyDescent="0.25">
      <c r="A131" t="s">
        <v>14</v>
      </c>
      <c r="B131" s="1">
        <v>42916</v>
      </c>
      <c r="C131">
        <v>16139422505</v>
      </c>
      <c r="D131">
        <v>1276985447</v>
      </c>
      <c r="E131">
        <v>16542748372</v>
      </c>
      <c r="F131">
        <v>53339154988</v>
      </c>
      <c r="G131">
        <v>36796406616</v>
      </c>
      <c r="H131">
        <v>2.394086384</v>
      </c>
      <c r="I131">
        <v>3.4704080209999999</v>
      </c>
      <c r="J131">
        <v>0.44957510499999997</v>
      </c>
    </row>
    <row r="132" spans="1:10" x14ac:dyDescent="0.25">
      <c r="A132" t="s">
        <v>14</v>
      </c>
      <c r="B132" s="1">
        <v>43008</v>
      </c>
      <c r="C132">
        <v>9548006554</v>
      </c>
      <c r="D132">
        <v>1237046329</v>
      </c>
      <c r="E132">
        <v>27483087953</v>
      </c>
      <c r="F132">
        <v>52090363015</v>
      </c>
      <c r="G132">
        <v>24607275062</v>
      </c>
      <c r="H132">
        <v>2.3748084249999999</v>
      </c>
      <c r="I132">
        <v>5.0271569129999998</v>
      </c>
      <c r="J132">
        <v>1.1168684010000001</v>
      </c>
    </row>
    <row r="133" spans="1:10" x14ac:dyDescent="0.25">
      <c r="A133" t="s">
        <v>14</v>
      </c>
      <c r="B133" s="1">
        <v>43100</v>
      </c>
      <c r="C133">
        <v>16895580815</v>
      </c>
      <c r="D133">
        <v>1797081911</v>
      </c>
      <c r="E133">
        <v>28309420014</v>
      </c>
      <c r="F133">
        <v>68036567115</v>
      </c>
      <c r="G133">
        <v>39727147101</v>
      </c>
      <c r="H133">
        <v>2.641347127</v>
      </c>
      <c r="I133">
        <v>4.5235614489999998</v>
      </c>
      <c r="J133">
        <v>0.71259634999999999</v>
      </c>
    </row>
    <row r="134" spans="1:10" x14ac:dyDescent="0.25">
      <c r="A134" t="s">
        <v>14</v>
      </c>
      <c r="B134" s="1">
        <v>43190</v>
      </c>
      <c r="C134">
        <v>16240083291</v>
      </c>
      <c r="D134">
        <v>1330285061</v>
      </c>
      <c r="E134">
        <v>20620789244</v>
      </c>
      <c r="F134">
        <v>35863861269</v>
      </c>
      <c r="G134">
        <v>15243072025</v>
      </c>
      <c r="H134">
        <v>3.7092633460000002</v>
      </c>
      <c r="I134">
        <v>8.7271454100000003</v>
      </c>
      <c r="J134">
        <v>1.3527974679999999</v>
      </c>
    </row>
    <row r="135" spans="1:10" x14ac:dyDescent="0.25">
      <c r="A135" t="s">
        <v>14</v>
      </c>
      <c r="B135" s="1">
        <v>43281</v>
      </c>
      <c r="C135">
        <v>11432373323</v>
      </c>
      <c r="D135">
        <v>902833070.5</v>
      </c>
      <c r="E135">
        <v>15796422658</v>
      </c>
      <c r="F135">
        <v>55141147698</v>
      </c>
      <c r="G135">
        <v>39344725041</v>
      </c>
      <c r="H135">
        <v>1.6373128020000001</v>
      </c>
      <c r="I135">
        <v>2.2946737320000001</v>
      </c>
      <c r="J135">
        <v>0.40148768699999998</v>
      </c>
    </row>
    <row r="136" spans="1:10" x14ac:dyDescent="0.25">
      <c r="A136" t="s">
        <v>14</v>
      </c>
      <c r="B136" s="1">
        <v>43373</v>
      </c>
      <c r="C136">
        <v>19846387618</v>
      </c>
      <c r="D136">
        <v>2884007106</v>
      </c>
      <c r="E136">
        <v>11017913220</v>
      </c>
      <c r="F136">
        <v>31498369926</v>
      </c>
      <c r="G136">
        <v>20480456706</v>
      </c>
      <c r="H136">
        <v>9.1560519239999998</v>
      </c>
      <c r="I136">
        <v>14.08175192</v>
      </c>
      <c r="J136">
        <v>0.53797204700000001</v>
      </c>
    </row>
    <row r="137" spans="1:10" x14ac:dyDescent="0.25">
      <c r="A137" t="s">
        <v>14</v>
      </c>
      <c r="B137" s="1">
        <v>43465</v>
      </c>
      <c r="C137">
        <v>10270182691</v>
      </c>
      <c r="D137">
        <v>708863277.10000002</v>
      </c>
      <c r="E137">
        <v>42708053991</v>
      </c>
      <c r="F137">
        <v>57050114588</v>
      </c>
      <c r="G137">
        <v>14342060597</v>
      </c>
      <c r="H137">
        <v>1.24252735</v>
      </c>
      <c r="I137">
        <v>4.9425483339999996</v>
      </c>
      <c r="J137">
        <v>2.9778185430000002</v>
      </c>
    </row>
    <row r="138" spans="1:10" x14ac:dyDescent="0.25">
      <c r="A138" t="s">
        <v>14</v>
      </c>
      <c r="B138" s="1">
        <v>43555</v>
      </c>
      <c r="C138">
        <v>13827496449</v>
      </c>
      <c r="D138">
        <v>1133835190</v>
      </c>
      <c r="E138">
        <v>46117811894</v>
      </c>
      <c r="F138">
        <v>82240340578</v>
      </c>
      <c r="G138">
        <v>36122528684</v>
      </c>
      <c r="H138">
        <v>1.378684939</v>
      </c>
      <c r="I138">
        <v>3.1388588529999999</v>
      </c>
      <c r="J138">
        <v>1.2767049699999999</v>
      </c>
    </row>
    <row r="139" spans="1:10" x14ac:dyDescent="0.25">
      <c r="A139" t="s">
        <v>14</v>
      </c>
      <c r="B139" s="1">
        <v>43646</v>
      </c>
      <c r="C139">
        <v>11534207296</v>
      </c>
      <c r="D139">
        <v>1513985001</v>
      </c>
      <c r="E139">
        <v>19270767207</v>
      </c>
      <c r="F139">
        <v>53405386175</v>
      </c>
      <c r="G139">
        <v>34134618968</v>
      </c>
      <c r="H139">
        <v>2.834891963</v>
      </c>
      <c r="I139">
        <v>4.4353358739999997</v>
      </c>
      <c r="J139">
        <v>0.564551994</v>
      </c>
    </row>
    <row r="140" spans="1:10" x14ac:dyDescent="0.25">
      <c r="A140" t="s">
        <v>14</v>
      </c>
      <c r="B140" s="1">
        <v>43738</v>
      </c>
      <c r="C140">
        <v>7430177132</v>
      </c>
      <c r="D140">
        <v>551583106</v>
      </c>
      <c r="E140">
        <v>33765326378</v>
      </c>
      <c r="F140">
        <v>50383426520</v>
      </c>
      <c r="G140">
        <v>16618100141</v>
      </c>
      <c r="H140">
        <v>1.094770928</v>
      </c>
      <c r="I140">
        <v>3.3191706710000002</v>
      </c>
      <c r="J140">
        <v>2.0318403479999998</v>
      </c>
    </row>
    <row r="141" spans="1:10" x14ac:dyDescent="0.25">
      <c r="A141" t="s">
        <v>14</v>
      </c>
      <c r="B141" s="1">
        <v>43830</v>
      </c>
      <c r="C141">
        <v>17877114298</v>
      </c>
      <c r="D141">
        <v>1224635136</v>
      </c>
      <c r="E141">
        <v>31860731568</v>
      </c>
      <c r="F141">
        <v>65500282723</v>
      </c>
      <c r="G141">
        <v>33639551155</v>
      </c>
      <c r="H141">
        <v>1.8696638919999999</v>
      </c>
      <c r="I141">
        <v>3.6404621750000001</v>
      </c>
      <c r="J141">
        <v>0.94712118499999998</v>
      </c>
    </row>
    <row r="142" spans="1:10" x14ac:dyDescent="0.25">
      <c r="A142" t="s">
        <v>14</v>
      </c>
      <c r="B142" s="1">
        <v>43921</v>
      </c>
      <c r="C142">
        <v>9927936838</v>
      </c>
      <c r="D142">
        <v>1197785480</v>
      </c>
      <c r="E142">
        <v>37635556954</v>
      </c>
      <c r="F142">
        <v>86394249061</v>
      </c>
      <c r="G142">
        <v>48758692107</v>
      </c>
      <c r="H142">
        <v>1.3864180699999999</v>
      </c>
      <c r="I142">
        <v>2.4565578540000002</v>
      </c>
      <c r="J142">
        <v>0.77187380000000005</v>
      </c>
    </row>
    <row r="143" spans="1:10" x14ac:dyDescent="0.25">
      <c r="A143" t="s">
        <v>14</v>
      </c>
      <c r="B143" s="1">
        <v>44012</v>
      </c>
      <c r="C143">
        <v>11914158554</v>
      </c>
      <c r="D143">
        <v>1054111676</v>
      </c>
      <c r="E143">
        <v>43298236595</v>
      </c>
      <c r="F143">
        <v>83113769380</v>
      </c>
      <c r="G143">
        <v>39815532785</v>
      </c>
      <c r="H143">
        <v>1.268275622</v>
      </c>
      <c r="I143">
        <v>2.6474885609999999</v>
      </c>
      <c r="J143">
        <v>1.087470983</v>
      </c>
    </row>
    <row r="144" spans="1:10" x14ac:dyDescent="0.25">
      <c r="A144" t="s">
        <v>14</v>
      </c>
      <c r="B144" s="1">
        <v>44104</v>
      </c>
      <c r="C144">
        <v>18130200876</v>
      </c>
      <c r="D144">
        <v>2418330284</v>
      </c>
      <c r="E144">
        <v>49603599758</v>
      </c>
      <c r="F144">
        <v>91937242355</v>
      </c>
      <c r="G144">
        <v>42333642596</v>
      </c>
      <c r="H144">
        <v>2.6304142069999998</v>
      </c>
      <c r="I144">
        <v>5.7125494889999997</v>
      </c>
      <c r="J144">
        <v>1.171730017</v>
      </c>
    </row>
    <row r="145" spans="1:10" x14ac:dyDescent="0.25">
      <c r="A145" t="s">
        <v>14</v>
      </c>
      <c r="B145" s="1">
        <v>44196</v>
      </c>
      <c r="C145">
        <v>11583572658</v>
      </c>
      <c r="D145">
        <v>1407524593</v>
      </c>
      <c r="E145">
        <v>37122614462</v>
      </c>
      <c r="F145">
        <v>82673694404</v>
      </c>
      <c r="G145">
        <v>45551079942</v>
      </c>
      <c r="H145">
        <v>1.7025059819999999</v>
      </c>
      <c r="I145">
        <v>3.0899917069999998</v>
      </c>
      <c r="J145">
        <v>0.814966725</v>
      </c>
    </row>
    <row r="146" spans="1:10" x14ac:dyDescent="0.25">
      <c r="A146" t="s">
        <v>14</v>
      </c>
      <c r="B146" s="1">
        <v>44286</v>
      </c>
      <c r="C146">
        <v>6644620233</v>
      </c>
      <c r="D146">
        <v>990744714.5</v>
      </c>
      <c r="E146">
        <v>21424039042</v>
      </c>
      <c r="F146">
        <v>52878014917</v>
      </c>
      <c r="G146">
        <v>31453975875</v>
      </c>
      <c r="H146">
        <v>1.873642035</v>
      </c>
      <c r="I146">
        <v>3.1498234699999998</v>
      </c>
      <c r="J146">
        <v>0.68112340199999999</v>
      </c>
    </row>
    <row r="147" spans="1:10" x14ac:dyDescent="0.25">
      <c r="A147" t="s">
        <v>14</v>
      </c>
      <c r="B147" s="1">
        <v>44377</v>
      </c>
      <c r="C147">
        <v>18768998808</v>
      </c>
      <c r="D147">
        <v>1373518726</v>
      </c>
      <c r="E147">
        <v>31667361119</v>
      </c>
      <c r="F147">
        <v>58519002305</v>
      </c>
      <c r="G147">
        <v>26851641187</v>
      </c>
      <c r="H147">
        <v>2.3471328480000002</v>
      </c>
      <c r="I147">
        <v>5.1152133160000002</v>
      </c>
      <c r="J147">
        <v>1.17934546</v>
      </c>
    </row>
    <row r="148" spans="1:10" x14ac:dyDescent="0.25">
      <c r="A148" t="s">
        <v>14</v>
      </c>
      <c r="B148" s="1">
        <v>44469</v>
      </c>
      <c r="C148">
        <v>10808670566</v>
      </c>
      <c r="D148">
        <v>658653438.10000002</v>
      </c>
      <c r="E148">
        <v>37937729306</v>
      </c>
      <c r="F148">
        <v>85517814001</v>
      </c>
      <c r="G148">
        <v>47580084695</v>
      </c>
      <c r="H148">
        <v>0.77019442800000004</v>
      </c>
      <c r="I148">
        <v>1.384304888</v>
      </c>
      <c r="J148">
        <v>0.79734472000000001</v>
      </c>
    </row>
    <row r="149" spans="1:10" x14ac:dyDescent="0.25">
      <c r="A149" t="s">
        <v>14</v>
      </c>
      <c r="B149" s="1">
        <v>44561</v>
      </c>
      <c r="C149">
        <v>18793891125</v>
      </c>
      <c r="D149">
        <v>2702710428</v>
      </c>
      <c r="E149">
        <v>12423193661</v>
      </c>
      <c r="F149">
        <v>54396450621</v>
      </c>
      <c r="G149">
        <v>41973256961</v>
      </c>
      <c r="H149">
        <v>4.9685418759999997</v>
      </c>
      <c r="I149">
        <v>6.4391248709999998</v>
      </c>
      <c r="J149">
        <v>0.29597878700000002</v>
      </c>
    </row>
    <row r="150" spans="1:10" x14ac:dyDescent="0.25">
      <c r="A150" t="s">
        <v>14</v>
      </c>
      <c r="B150" s="1">
        <v>44651</v>
      </c>
      <c r="C150">
        <v>7020216669</v>
      </c>
      <c r="D150">
        <v>504888024.60000002</v>
      </c>
      <c r="E150">
        <v>19566830326</v>
      </c>
      <c r="F150">
        <v>62928514411</v>
      </c>
      <c r="G150">
        <v>43361684085</v>
      </c>
      <c r="H150">
        <v>0.80231994900000003</v>
      </c>
      <c r="I150">
        <v>1.164364427</v>
      </c>
      <c r="J150">
        <v>0.45124701099999998</v>
      </c>
    </row>
    <row r="151" spans="1:10" x14ac:dyDescent="0.25">
      <c r="A151" t="s">
        <v>14</v>
      </c>
      <c r="B151" s="1">
        <v>44742</v>
      </c>
      <c r="C151">
        <v>11227593925</v>
      </c>
      <c r="D151">
        <v>1221025867</v>
      </c>
      <c r="E151">
        <v>27001572213</v>
      </c>
      <c r="F151">
        <v>45570891422</v>
      </c>
      <c r="G151">
        <v>18569319208</v>
      </c>
      <c r="H151">
        <v>2.6793986890000001</v>
      </c>
      <c r="I151">
        <v>6.5755015219999997</v>
      </c>
      <c r="J151">
        <v>1.4540959689999999</v>
      </c>
    </row>
    <row r="152" spans="1:10" x14ac:dyDescent="0.25">
      <c r="A152" t="s">
        <v>14</v>
      </c>
      <c r="B152" s="1">
        <v>44834</v>
      </c>
      <c r="C152">
        <v>8861717408</v>
      </c>
      <c r="D152">
        <v>569761713.29999995</v>
      </c>
      <c r="E152">
        <v>46662383110</v>
      </c>
      <c r="F152">
        <v>69619249891</v>
      </c>
      <c r="G152">
        <v>22956866781</v>
      </c>
      <c r="H152">
        <v>0.81839680000000004</v>
      </c>
      <c r="I152">
        <v>2.4818792510000001</v>
      </c>
      <c r="J152">
        <v>2.032611138</v>
      </c>
    </row>
    <row r="153" spans="1:10" x14ac:dyDescent="0.25">
      <c r="A153" t="s">
        <v>14</v>
      </c>
      <c r="B153" s="1">
        <v>44926</v>
      </c>
      <c r="C153">
        <v>13018762765</v>
      </c>
      <c r="D153">
        <v>1704211990</v>
      </c>
      <c r="E153">
        <v>11167034881</v>
      </c>
      <c r="F153">
        <v>30031637051</v>
      </c>
      <c r="G153">
        <v>18864602170</v>
      </c>
      <c r="H153">
        <v>5.6747222500000003</v>
      </c>
      <c r="I153">
        <v>9.0339142819999996</v>
      </c>
      <c r="J153">
        <v>0.59195708300000005</v>
      </c>
    </row>
    <row r="154" spans="1:10" x14ac:dyDescent="0.25">
      <c r="A154" t="s">
        <v>14</v>
      </c>
      <c r="B154" s="1">
        <v>45016</v>
      </c>
      <c r="C154">
        <v>9496852852</v>
      </c>
      <c r="D154">
        <v>691692392.20000005</v>
      </c>
      <c r="E154">
        <v>36704020555</v>
      </c>
      <c r="F154">
        <v>77712763784</v>
      </c>
      <c r="G154">
        <v>41008743229</v>
      </c>
      <c r="H154">
        <v>0.89006278800000005</v>
      </c>
      <c r="I154">
        <v>1.6866949280000001</v>
      </c>
      <c r="J154">
        <v>0.89502914899999997</v>
      </c>
    </row>
    <row r="155" spans="1:10" x14ac:dyDescent="0.25">
      <c r="A155" t="s">
        <v>14</v>
      </c>
      <c r="B155" s="1">
        <v>45107</v>
      </c>
      <c r="C155">
        <v>14800185962</v>
      </c>
      <c r="D155">
        <v>1295428284</v>
      </c>
      <c r="E155">
        <v>11911955269</v>
      </c>
      <c r="F155">
        <v>57692706612</v>
      </c>
      <c r="G155">
        <v>45780751343</v>
      </c>
      <c r="H155">
        <v>2.245393499</v>
      </c>
      <c r="I155">
        <v>2.8296352640000002</v>
      </c>
      <c r="J155">
        <v>0.26019571400000002</v>
      </c>
    </row>
    <row r="156" spans="1:10" x14ac:dyDescent="0.25">
      <c r="A156" t="s">
        <v>14</v>
      </c>
      <c r="B156" s="1">
        <v>45199</v>
      </c>
      <c r="C156">
        <v>8416753062</v>
      </c>
      <c r="D156">
        <v>980336277</v>
      </c>
      <c r="E156">
        <v>46036015495</v>
      </c>
      <c r="F156">
        <v>95477772055</v>
      </c>
      <c r="G156">
        <v>49441756560</v>
      </c>
      <c r="H156">
        <v>1.026769117</v>
      </c>
      <c r="I156">
        <v>1.9828103720000001</v>
      </c>
      <c r="J156">
        <v>0.93111609900000003</v>
      </c>
    </row>
    <row r="157" spans="1:10" x14ac:dyDescent="0.25">
      <c r="A157" t="s">
        <v>14</v>
      </c>
      <c r="B157" s="1">
        <v>45291</v>
      </c>
      <c r="C157">
        <v>12852011317</v>
      </c>
      <c r="D157">
        <v>684110085.89999998</v>
      </c>
      <c r="E157">
        <v>18179739764</v>
      </c>
      <c r="F157">
        <v>53040583203</v>
      </c>
      <c r="G157">
        <v>34860843439</v>
      </c>
      <c r="H157">
        <v>1.2897861310000001</v>
      </c>
      <c r="I157">
        <v>1.9624025650000001</v>
      </c>
      <c r="J157">
        <v>0.52149454699999997</v>
      </c>
    </row>
    <row r="158" spans="1:10" x14ac:dyDescent="0.25">
      <c r="A158" t="s">
        <v>14</v>
      </c>
      <c r="B158" s="1">
        <v>45382</v>
      </c>
      <c r="C158">
        <v>19756965859</v>
      </c>
      <c r="D158">
        <v>1431835601</v>
      </c>
      <c r="E158">
        <v>10848294146</v>
      </c>
      <c r="F158">
        <v>60234434421</v>
      </c>
      <c r="G158">
        <v>49386140275</v>
      </c>
      <c r="H158">
        <v>2.3771047489999999</v>
      </c>
      <c r="I158">
        <v>2.899266055</v>
      </c>
      <c r="J158">
        <v>0.219662725</v>
      </c>
    </row>
    <row r="159" spans="1:10" x14ac:dyDescent="0.25">
      <c r="A159" t="s">
        <v>14</v>
      </c>
      <c r="B159" s="1">
        <v>45473</v>
      </c>
      <c r="C159">
        <v>11122911230</v>
      </c>
      <c r="D159">
        <v>1144594204</v>
      </c>
      <c r="E159">
        <v>29846781652</v>
      </c>
      <c r="F159">
        <v>60313552592</v>
      </c>
      <c r="G159">
        <v>30466770941</v>
      </c>
      <c r="H159">
        <v>1.8977396529999999</v>
      </c>
      <c r="I159">
        <v>3.7568608970000001</v>
      </c>
      <c r="J159">
        <v>0.97965031199999997</v>
      </c>
    </row>
    <row r="160" spans="1:10" x14ac:dyDescent="0.25">
      <c r="A160" t="s">
        <v>14</v>
      </c>
      <c r="B160" s="1">
        <v>45565</v>
      </c>
      <c r="C160">
        <v>16485330446</v>
      </c>
      <c r="D160">
        <v>1727330520</v>
      </c>
      <c r="E160">
        <v>41199120058</v>
      </c>
      <c r="F160">
        <v>58775396940</v>
      </c>
      <c r="G160">
        <v>17576276882</v>
      </c>
      <c r="H160">
        <v>2.938866617</v>
      </c>
      <c r="I160">
        <v>9.8276246510000007</v>
      </c>
      <c r="J160">
        <v>2.3440186070000002</v>
      </c>
    </row>
    <row r="161" spans="1:10" x14ac:dyDescent="0.25">
      <c r="A161" t="s">
        <v>14</v>
      </c>
      <c r="B161" s="1">
        <v>45657</v>
      </c>
      <c r="C161">
        <v>15113132584</v>
      </c>
      <c r="D161">
        <v>1914494156</v>
      </c>
      <c r="E161">
        <v>43259483243</v>
      </c>
      <c r="F161">
        <v>88221659272</v>
      </c>
      <c r="G161">
        <v>44962176029</v>
      </c>
      <c r="H161">
        <v>2.1700953850000002</v>
      </c>
      <c r="I161">
        <v>4.258010455</v>
      </c>
      <c r="J161">
        <v>0.96213055199999997</v>
      </c>
    </row>
    <row r="162" spans="1:10" x14ac:dyDescent="0.25">
      <c r="A162" t="s">
        <v>15</v>
      </c>
      <c r="B162" s="1">
        <v>42825</v>
      </c>
      <c r="C162">
        <v>13951553720</v>
      </c>
      <c r="D162">
        <v>1348710564</v>
      </c>
      <c r="E162">
        <v>21828517855</v>
      </c>
      <c r="F162">
        <v>62780698314</v>
      </c>
      <c r="G162">
        <v>40952180459</v>
      </c>
      <c r="H162">
        <v>2.1482885669999998</v>
      </c>
      <c r="I162">
        <v>3.2933791289999998</v>
      </c>
      <c r="J162">
        <v>0.53302455699999995</v>
      </c>
    </row>
    <row r="163" spans="1:10" x14ac:dyDescent="0.25">
      <c r="A163" t="s">
        <v>15</v>
      </c>
      <c r="B163" s="1">
        <v>42916</v>
      </c>
      <c r="C163">
        <v>15409119271</v>
      </c>
      <c r="D163">
        <v>924345905.79999995</v>
      </c>
      <c r="E163">
        <v>44651352138</v>
      </c>
      <c r="F163">
        <v>77649206644</v>
      </c>
      <c r="G163">
        <v>32997854506</v>
      </c>
      <c r="H163">
        <v>1.1904125560000001</v>
      </c>
      <c r="I163">
        <v>2.8012303209999998</v>
      </c>
      <c r="J163">
        <v>1.353159252</v>
      </c>
    </row>
    <row r="164" spans="1:10" x14ac:dyDescent="0.25">
      <c r="A164" t="s">
        <v>15</v>
      </c>
      <c r="B164" s="1">
        <v>43008</v>
      </c>
      <c r="C164">
        <v>14110556301</v>
      </c>
      <c r="D164">
        <v>1163491999</v>
      </c>
      <c r="E164">
        <v>16591763093</v>
      </c>
      <c r="F164">
        <v>32355610354</v>
      </c>
      <c r="G164">
        <v>15763847262</v>
      </c>
      <c r="H164">
        <v>3.5959513250000001</v>
      </c>
      <c r="I164">
        <v>7.3807616879999998</v>
      </c>
      <c r="J164">
        <v>1.0525199089999999</v>
      </c>
    </row>
    <row r="165" spans="1:10" x14ac:dyDescent="0.25">
      <c r="A165" t="s">
        <v>15</v>
      </c>
      <c r="B165" s="1">
        <v>43100</v>
      </c>
      <c r="C165">
        <v>11505351408</v>
      </c>
      <c r="D165">
        <v>1425682028</v>
      </c>
      <c r="E165">
        <v>36680109736</v>
      </c>
      <c r="F165">
        <v>61941763399</v>
      </c>
      <c r="G165">
        <v>25261653663</v>
      </c>
      <c r="H165">
        <v>2.3016490809999999</v>
      </c>
      <c r="I165">
        <v>5.6436607319999998</v>
      </c>
      <c r="J165">
        <v>1.4520074670000001</v>
      </c>
    </row>
    <row r="166" spans="1:10" x14ac:dyDescent="0.25">
      <c r="A166" t="s">
        <v>15</v>
      </c>
      <c r="B166" s="1">
        <v>43190</v>
      </c>
      <c r="C166">
        <v>17427808963</v>
      </c>
      <c r="D166">
        <v>1967928248</v>
      </c>
      <c r="E166">
        <v>36127253691</v>
      </c>
      <c r="F166">
        <v>72733202053</v>
      </c>
      <c r="G166">
        <v>36605948363</v>
      </c>
      <c r="H166">
        <v>2.7056807520000001</v>
      </c>
      <c r="I166">
        <v>5.3759794149999998</v>
      </c>
      <c r="J166">
        <v>0.98692303599999998</v>
      </c>
    </row>
    <row r="167" spans="1:10" x14ac:dyDescent="0.25">
      <c r="A167" t="s">
        <v>15</v>
      </c>
      <c r="B167" s="1">
        <v>43281</v>
      </c>
      <c r="C167">
        <v>10561657912</v>
      </c>
      <c r="D167">
        <v>1025524147</v>
      </c>
      <c r="E167">
        <v>18824834094</v>
      </c>
      <c r="F167">
        <v>53785357297</v>
      </c>
      <c r="G167">
        <v>34960523204</v>
      </c>
      <c r="H167">
        <v>1.9066976550000001</v>
      </c>
      <c r="I167">
        <v>2.9333775719999999</v>
      </c>
      <c r="J167">
        <v>0.53845973599999997</v>
      </c>
    </row>
    <row r="168" spans="1:10" x14ac:dyDescent="0.25">
      <c r="A168" t="s">
        <v>15</v>
      </c>
      <c r="B168" s="1">
        <v>43373</v>
      </c>
      <c r="C168">
        <v>10796012246</v>
      </c>
      <c r="D168">
        <v>986280250.60000002</v>
      </c>
      <c r="E168">
        <v>18030445293</v>
      </c>
      <c r="F168">
        <v>66154405096</v>
      </c>
      <c r="G168">
        <v>48123959803</v>
      </c>
      <c r="H168">
        <v>1.490876154</v>
      </c>
      <c r="I168">
        <v>2.0494578059999999</v>
      </c>
      <c r="J168">
        <v>0.37466670200000002</v>
      </c>
    </row>
    <row r="169" spans="1:10" x14ac:dyDescent="0.25">
      <c r="A169" t="s">
        <v>15</v>
      </c>
      <c r="B169" s="1">
        <v>43465</v>
      </c>
      <c r="C169">
        <v>15273880507</v>
      </c>
      <c r="D169">
        <v>1698666925</v>
      </c>
      <c r="E169">
        <v>35514608139</v>
      </c>
      <c r="F169">
        <v>56589637247</v>
      </c>
      <c r="G169">
        <v>21075029108</v>
      </c>
      <c r="H169">
        <v>3.0017278919999999</v>
      </c>
      <c r="I169">
        <v>8.0600929029999993</v>
      </c>
      <c r="J169">
        <v>1.6851510839999999</v>
      </c>
    </row>
    <row r="170" spans="1:10" x14ac:dyDescent="0.25">
      <c r="A170" t="s">
        <v>15</v>
      </c>
      <c r="B170" s="1">
        <v>43555</v>
      </c>
      <c r="C170">
        <v>17933328881</v>
      </c>
      <c r="D170">
        <v>1112803764</v>
      </c>
      <c r="E170">
        <v>47538352610</v>
      </c>
      <c r="F170">
        <v>96220600130</v>
      </c>
      <c r="G170">
        <v>48682247520</v>
      </c>
      <c r="H170">
        <v>1.1565130159999999</v>
      </c>
      <c r="I170">
        <v>2.2858512520000001</v>
      </c>
      <c r="J170">
        <v>0.97650283299999996</v>
      </c>
    </row>
    <row r="171" spans="1:10" x14ac:dyDescent="0.25">
      <c r="A171" t="s">
        <v>15</v>
      </c>
      <c r="B171" s="1">
        <v>43646</v>
      </c>
      <c r="C171">
        <v>9246129285</v>
      </c>
      <c r="D171">
        <v>1035650167</v>
      </c>
      <c r="E171">
        <v>29184989731</v>
      </c>
      <c r="F171">
        <v>52641709425</v>
      </c>
      <c r="G171">
        <v>23456719694</v>
      </c>
      <c r="H171">
        <v>1.9673566419999999</v>
      </c>
      <c r="I171">
        <v>4.4151534420000003</v>
      </c>
      <c r="J171">
        <v>1.2442059299999999</v>
      </c>
    </row>
    <row r="172" spans="1:10" x14ac:dyDescent="0.25">
      <c r="A172" t="s">
        <v>15</v>
      </c>
      <c r="B172" s="1">
        <v>43738</v>
      </c>
      <c r="C172">
        <v>11461718687</v>
      </c>
      <c r="D172">
        <v>1380378045</v>
      </c>
      <c r="E172">
        <v>27344331892</v>
      </c>
      <c r="F172">
        <v>73302995160</v>
      </c>
      <c r="G172">
        <v>45958663267</v>
      </c>
      <c r="H172">
        <v>1.8831127459999999</v>
      </c>
      <c r="I172">
        <v>3.003520875</v>
      </c>
      <c r="J172">
        <v>0.59497665799999999</v>
      </c>
    </row>
    <row r="173" spans="1:10" x14ac:dyDescent="0.25">
      <c r="A173" t="s">
        <v>15</v>
      </c>
      <c r="B173" s="1">
        <v>43830</v>
      </c>
      <c r="C173">
        <v>15796654133</v>
      </c>
      <c r="D173">
        <v>805016265.79999995</v>
      </c>
      <c r="E173">
        <v>11494162751</v>
      </c>
      <c r="F173">
        <v>47776069193</v>
      </c>
      <c r="G173">
        <v>36281906442</v>
      </c>
      <c r="H173">
        <v>1.6849780219999999</v>
      </c>
      <c r="I173">
        <v>2.2187816040000001</v>
      </c>
      <c r="J173">
        <v>0.31680151000000001</v>
      </c>
    </row>
    <row r="174" spans="1:10" x14ac:dyDescent="0.25">
      <c r="A174" t="s">
        <v>15</v>
      </c>
      <c r="B174" s="1">
        <v>43921</v>
      </c>
      <c r="C174">
        <v>17673360637</v>
      </c>
      <c r="D174">
        <v>1501884164</v>
      </c>
      <c r="E174">
        <v>32122639453</v>
      </c>
      <c r="F174">
        <v>73938353262</v>
      </c>
      <c r="G174">
        <v>41815713810</v>
      </c>
      <c r="H174">
        <v>2.0312653690000002</v>
      </c>
      <c r="I174">
        <v>3.591674104</v>
      </c>
      <c r="J174">
        <v>0.76819541099999999</v>
      </c>
    </row>
    <row r="175" spans="1:10" x14ac:dyDescent="0.25">
      <c r="A175" t="s">
        <v>15</v>
      </c>
      <c r="B175" s="1">
        <v>44012</v>
      </c>
      <c r="C175">
        <v>16609605942</v>
      </c>
      <c r="D175">
        <v>2209253956</v>
      </c>
      <c r="E175">
        <v>40969123319</v>
      </c>
      <c r="F175">
        <v>78858492215</v>
      </c>
      <c r="G175">
        <v>37889368896</v>
      </c>
      <c r="H175">
        <v>2.8015422230000002</v>
      </c>
      <c r="I175">
        <v>5.830801675</v>
      </c>
      <c r="J175">
        <v>1.0812828109999999</v>
      </c>
    </row>
    <row r="176" spans="1:10" x14ac:dyDescent="0.25">
      <c r="A176" t="s">
        <v>15</v>
      </c>
      <c r="B176" s="1">
        <v>44104</v>
      </c>
      <c r="C176">
        <v>15589999588</v>
      </c>
      <c r="D176">
        <v>1310559971</v>
      </c>
      <c r="E176">
        <v>40139408421</v>
      </c>
      <c r="F176">
        <v>54633825763</v>
      </c>
      <c r="G176">
        <v>14494417343</v>
      </c>
      <c r="H176">
        <v>2.39880688</v>
      </c>
      <c r="I176">
        <v>9.0418258310000006</v>
      </c>
      <c r="J176">
        <v>2.769301274</v>
      </c>
    </row>
    <row r="177" spans="1:10" x14ac:dyDescent="0.25">
      <c r="A177" t="s">
        <v>15</v>
      </c>
      <c r="B177" s="1">
        <v>44196</v>
      </c>
      <c r="C177">
        <v>19614896783</v>
      </c>
      <c r="D177">
        <v>1231038198</v>
      </c>
      <c r="E177">
        <v>45625478678</v>
      </c>
      <c r="F177">
        <v>94598230353</v>
      </c>
      <c r="G177">
        <v>48972751675</v>
      </c>
      <c r="H177">
        <v>1.3013332209999999</v>
      </c>
      <c r="I177">
        <v>2.5137207039999998</v>
      </c>
      <c r="J177">
        <v>0.93165029799999999</v>
      </c>
    </row>
    <row r="178" spans="1:10" x14ac:dyDescent="0.25">
      <c r="A178" t="s">
        <v>15</v>
      </c>
      <c r="B178" s="1">
        <v>44286</v>
      </c>
      <c r="C178">
        <v>6356573780</v>
      </c>
      <c r="D178">
        <v>831921707.29999995</v>
      </c>
      <c r="E178">
        <v>22622163266</v>
      </c>
      <c r="F178">
        <v>70081083207</v>
      </c>
      <c r="G178">
        <v>47458919941</v>
      </c>
      <c r="H178">
        <v>1.187084544</v>
      </c>
      <c r="I178">
        <v>1.7529301310000001</v>
      </c>
      <c r="J178">
        <v>0.47666831199999998</v>
      </c>
    </row>
    <row r="179" spans="1:10" x14ac:dyDescent="0.25">
      <c r="A179" t="s">
        <v>15</v>
      </c>
      <c r="B179" s="1">
        <v>44377</v>
      </c>
      <c r="C179">
        <v>5509568002</v>
      </c>
      <c r="D179">
        <v>378951538.10000002</v>
      </c>
      <c r="E179">
        <v>36585800973</v>
      </c>
      <c r="F179">
        <v>54397521144</v>
      </c>
      <c r="G179">
        <v>17811720171</v>
      </c>
      <c r="H179">
        <v>0.69663383599999995</v>
      </c>
      <c r="I179">
        <v>2.1275403750000002</v>
      </c>
      <c r="J179">
        <v>2.054029629</v>
      </c>
    </row>
    <row r="180" spans="1:10" x14ac:dyDescent="0.25">
      <c r="A180" t="s">
        <v>15</v>
      </c>
      <c r="B180" s="1">
        <v>44469</v>
      </c>
      <c r="C180">
        <v>14468035363</v>
      </c>
      <c r="D180">
        <v>1480956904</v>
      </c>
      <c r="E180">
        <v>34748500389</v>
      </c>
      <c r="F180">
        <v>83063430789</v>
      </c>
      <c r="G180">
        <v>48314930400</v>
      </c>
      <c r="H180">
        <v>1.7829228699999999</v>
      </c>
      <c r="I180">
        <v>3.0652158489999999</v>
      </c>
      <c r="J180">
        <v>0.71920832999999995</v>
      </c>
    </row>
    <row r="181" spans="1:10" x14ac:dyDescent="0.25">
      <c r="A181" t="s">
        <v>15</v>
      </c>
      <c r="B181" s="1">
        <v>44561</v>
      </c>
      <c r="C181">
        <v>18588737724</v>
      </c>
      <c r="D181">
        <v>2116759905</v>
      </c>
      <c r="E181">
        <v>15557689149</v>
      </c>
      <c r="F181">
        <v>64787149652</v>
      </c>
      <c r="G181">
        <v>49229460503</v>
      </c>
      <c r="H181">
        <v>3.267252713</v>
      </c>
      <c r="I181">
        <v>4.2997828599999997</v>
      </c>
      <c r="J181">
        <v>0.31602396199999999</v>
      </c>
    </row>
    <row r="182" spans="1:10" x14ac:dyDescent="0.25">
      <c r="A182" t="s">
        <v>15</v>
      </c>
      <c r="B182" s="1">
        <v>44651</v>
      </c>
      <c r="C182">
        <v>6523953565</v>
      </c>
      <c r="D182">
        <v>440649540.10000002</v>
      </c>
      <c r="E182">
        <v>18792941935</v>
      </c>
      <c r="F182">
        <v>60677034815</v>
      </c>
      <c r="G182">
        <v>41884092879</v>
      </c>
      <c r="H182">
        <v>0.72622128200000002</v>
      </c>
      <c r="I182">
        <v>1.0520689590000001</v>
      </c>
      <c r="J182">
        <v>0.44868924300000002</v>
      </c>
    </row>
    <row r="183" spans="1:10" x14ac:dyDescent="0.25">
      <c r="A183" t="s">
        <v>15</v>
      </c>
      <c r="B183" s="1">
        <v>44742</v>
      </c>
      <c r="C183">
        <v>8444063288</v>
      </c>
      <c r="D183">
        <v>1187007039</v>
      </c>
      <c r="E183">
        <v>47810647914</v>
      </c>
      <c r="F183">
        <v>69756044623</v>
      </c>
      <c r="G183">
        <v>21945396709</v>
      </c>
      <c r="H183">
        <v>1.7016547390000001</v>
      </c>
      <c r="I183">
        <v>5.4089112860000004</v>
      </c>
      <c r="J183">
        <v>2.1786185300000001</v>
      </c>
    </row>
    <row r="184" spans="1:10" x14ac:dyDescent="0.25">
      <c r="A184" t="s">
        <v>15</v>
      </c>
      <c r="B184" s="1">
        <v>44834</v>
      </c>
      <c r="C184">
        <v>14873007184</v>
      </c>
      <c r="D184">
        <v>1613587509</v>
      </c>
      <c r="E184">
        <v>33957807568</v>
      </c>
      <c r="F184">
        <v>82298368793</v>
      </c>
      <c r="G184">
        <v>48340561225</v>
      </c>
      <c r="H184">
        <v>1.960655518</v>
      </c>
      <c r="I184">
        <v>3.337957748</v>
      </c>
      <c r="J184">
        <v>0.70247028</v>
      </c>
    </row>
    <row r="185" spans="1:10" x14ac:dyDescent="0.25">
      <c r="A185" t="s">
        <v>15</v>
      </c>
      <c r="B185" s="1">
        <v>44926</v>
      </c>
      <c r="C185">
        <v>9420241101</v>
      </c>
      <c r="D185">
        <v>990420474.39999998</v>
      </c>
      <c r="E185">
        <v>12931047199</v>
      </c>
      <c r="F185">
        <v>34081834188</v>
      </c>
      <c r="G185">
        <v>21150786988</v>
      </c>
      <c r="H185">
        <v>2.9060069629999998</v>
      </c>
      <c r="I185">
        <v>4.682664881</v>
      </c>
      <c r="J185">
        <v>0.61137428199999999</v>
      </c>
    </row>
    <row r="186" spans="1:10" x14ac:dyDescent="0.25">
      <c r="A186" t="s">
        <v>15</v>
      </c>
      <c r="B186" s="1">
        <v>45016</v>
      </c>
      <c r="C186">
        <v>10942719196</v>
      </c>
      <c r="D186">
        <v>1439735669</v>
      </c>
      <c r="E186">
        <v>35021279445</v>
      </c>
      <c r="F186">
        <v>51489159430</v>
      </c>
      <c r="G186">
        <v>16467879985</v>
      </c>
      <c r="H186">
        <v>2.7961918300000002</v>
      </c>
      <c r="I186">
        <v>8.742689833</v>
      </c>
      <c r="J186">
        <v>2.1266416490000002</v>
      </c>
    </row>
    <row r="187" spans="1:10" x14ac:dyDescent="0.25">
      <c r="A187" t="s">
        <v>15</v>
      </c>
      <c r="B187" s="1">
        <v>45107</v>
      </c>
      <c r="C187">
        <v>10399408221</v>
      </c>
      <c r="D187">
        <v>561732001.5</v>
      </c>
      <c r="E187">
        <v>38426371195</v>
      </c>
      <c r="F187">
        <v>68448568389</v>
      </c>
      <c r="G187">
        <v>30022197194</v>
      </c>
      <c r="H187">
        <v>0.82066289299999995</v>
      </c>
      <c r="I187">
        <v>1.871055599</v>
      </c>
      <c r="J187">
        <v>1.27993201</v>
      </c>
    </row>
    <row r="188" spans="1:10" x14ac:dyDescent="0.25">
      <c r="A188" t="s">
        <v>15</v>
      </c>
      <c r="B188" s="1">
        <v>45199</v>
      </c>
      <c r="C188">
        <v>5149849693</v>
      </c>
      <c r="D188">
        <v>750613275.10000002</v>
      </c>
      <c r="E188">
        <v>17312068995</v>
      </c>
      <c r="F188">
        <v>55772071679</v>
      </c>
      <c r="G188">
        <v>38460002684</v>
      </c>
      <c r="H188">
        <v>1.3458586930000001</v>
      </c>
      <c r="I188">
        <v>1.9516724459999999</v>
      </c>
      <c r="J188">
        <v>0.45013176799999999</v>
      </c>
    </row>
    <row r="189" spans="1:10" x14ac:dyDescent="0.25">
      <c r="A189" t="s">
        <v>15</v>
      </c>
      <c r="B189" s="1">
        <v>45291</v>
      </c>
      <c r="C189">
        <v>12752580163</v>
      </c>
      <c r="D189">
        <v>884167446.60000002</v>
      </c>
      <c r="E189">
        <v>28470052842</v>
      </c>
      <c r="F189">
        <v>53978751141</v>
      </c>
      <c r="G189">
        <v>25508698298</v>
      </c>
      <c r="H189">
        <v>1.637991669</v>
      </c>
      <c r="I189">
        <v>3.4661409860000001</v>
      </c>
      <c r="J189">
        <v>1.116091951</v>
      </c>
    </row>
    <row r="190" spans="1:10" x14ac:dyDescent="0.25">
      <c r="A190" t="s">
        <v>15</v>
      </c>
      <c r="B190" s="1">
        <v>45382</v>
      </c>
      <c r="C190">
        <v>16377852382</v>
      </c>
      <c r="D190">
        <v>1007117429</v>
      </c>
      <c r="E190">
        <v>43228375752</v>
      </c>
      <c r="F190">
        <v>78855235024</v>
      </c>
      <c r="G190">
        <v>35626859272</v>
      </c>
      <c r="H190">
        <v>1.277172567</v>
      </c>
      <c r="I190">
        <v>2.8268487590000002</v>
      </c>
      <c r="J190">
        <v>1.213364766</v>
      </c>
    </row>
    <row r="191" spans="1:10" x14ac:dyDescent="0.25">
      <c r="A191" t="s">
        <v>15</v>
      </c>
      <c r="B191" s="1">
        <v>45473</v>
      </c>
      <c r="C191">
        <v>15923641671</v>
      </c>
      <c r="D191">
        <v>1238976660</v>
      </c>
      <c r="E191">
        <v>29108930053</v>
      </c>
      <c r="F191">
        <v>40292182768</v>
      </c>
      <c r="G191">
        <v>11183252715</v>
      </c>
      <c r="H191">
        <v>3.0749802449999999</v>
      </c>
      <c r="I191">
        <v>11.078857749999999</v>
      </c>
      <c r="J191">
        <v>2.6029037160000001</v>
      </c>
    </row>
    <row r="192" spans="1:10" x14ac:dyDescent="0.25">
      <c r="A192" t="s">
        <v>15</v>
      </c>
      <c r="B192" s="1">
        <v>45565</v>
      </c>
      <c r="C192">
        <v>6531276814</v>
      </c>
      <c r="D192">
        <v>872767531.70000005</v>
      </c>
      <c r="E192">
        <v>15526905086</v>
      </c>
      <c r="F192">
        <v>49404344791</v>
      </c>
      <c r="G192">
        <v>33877439705</v>
      </c>
      <c r="H192">
        <v>1.7665805210000001</v>
      </c>
      <c r="I192">
        <v>2.576249974</v>
      </c>
      <c r="J192">
        <v>0.45832581300000003</v>
      </c>
    </row>
    <row r="193" spans="1:10" x14ac:dyDescent="0.25">
      <c r="A193" t="s">
        <v>15</v>
      </c>
      <c r="B193" s="1">
        <v>45657</v>
      </c>
      <c r="C193">
        <v>19139621006</v>
      </c>
      <c r="D193">
        <v>2834016899</v>
      </c>
      <c r="E193">
        <v>18313729720</v>
      </c>
      <c r="F193">
        <v>41643539977</v>
      </c>
      <c r="G193">
        <v>23329810257</v>
      </c>
      <c r="H193">
        <v>6.8054178409999997</v>
      </c>
      <c r="I193">
        <v>12.147620870000001</v>
      </c>
      <c r="J193">
        <v>0.78499265600000001</v>
      </c>
    </row>
    <row r="194" spans="1:10" x14ac:dyDescent="0.25">
      <c r="A194" t="s">
        <v>16</v>
      </c>
      <c r="B194" s="1">
        <v>42825</v>
      </c>
      <c r="C194">
        <v>7142318181</v>
      </c>
      <c r="D194">
        <v>980884827.39999998</v>
      </c>
      <c r="E194">
        <v>33400146455</v>
      </c>
      <c r="F194">
        <v>69867319792</v>
      </c>
      <c r="G194">
        <v>36467173338</v>
      </c>
      <c r="H194">
        <v>1.4039250830000001</v>
      </c>
      <c r="I194">
        <v>2.689774769</v>
      </c>
      <c r="J194">
        <v>0.91589622699999995</v>
      </c>
    </row>
    <row r="195" spans="1:10" x14ac:dyDescent="0.25">
      <c r="A195" t="s">
        <v>16</v>
      </c>
      <c r="B195" s="1">
        <v>42916</v>
      </c>
      <c r="C195">
        <v>10611576433</v>
      </c>
      <c r="D195">
        <v>1197653535</v>
      </c>
      <c r="E195">
        <v>31728621908</v>
      </c>
      <c r="F195">
        <v>65800353827</v>
      </c>
      <c r="G195">
        <v>34071731919</v>
      </c>
      <c r="H195">
        <v>1.8201323629999999</v>
      </c>
      <c r="I195">
        <v>3.5150943840000002</v>
      </c>
      <c r="J195">
        <v>0.93123008799999996</v>
      </c>
    </row>
    <row r="196" spans="1:10" x14ac:dyDescent="0.25">
      <c r="A196" t="s">
        <v>16</v>
      </c>
      <c r="B196" s="1">
        <v>43008</v>
      </c>
      <c r="C196">
        <v>7323507123</v>
      </c>
      <c r="D196">
        <v>793777927.10000002</v>
      </c>
      <c r="E196">
        <v>27624534772</v>
      </c>
      <c r="F196">
        <v>70422660411</v>
      </c>
      <c r="G196">
        <v>42798125639</v>
      </c>
      <c r="H196">
        <v>1.1271626530000001</v>
      </c>
      <c r="I196">
        <v>1.854702549</v>
      </c>
      <c r="J196">
        <v>0.64546132199999995</v>
      </c>
    </row>
    <row r="197" spans="1:10" x14ac:dyDescent="0.25">
      <c r="A197" t="s">
        <v>16</v>
      </c>
      <c r="B197" s="1">
        <v>43100</v>
      </c>
      <c r="C197">
        <v>17133317238</v>
      </c>
      <c r="D197">
        <v>1743084807</v>
      </c>
      <c r="E197">
        <v>19707492188</v>
      </c>
      <c r="F197">
        <v>56381587968</v>
      </c>
      <c r="G197">
        <v>36674095780</v>
      </c>
      <c r="H197">
        <v>3.0915851600000002</v>
      </c>
      <c r="I197">
        <v>4.7529046590000004</v>
      </c>
      <c r="J197">
        <v>0.53736818200000003</v>
      </c>
    </row>
    <row r="198" spans="1:10" x14ac:dyDescent="0.25">
      <c r="A198" t="s">
        <v>16</v>
      </c>
      <c r="B198" s="1">
        <v>43190</v>
      </c>
      <c r="C198">
        <v>8641226117</v>
      </c>
      <c r="D198">
        <v>983139976.89999998</v>
      </c>
      <c r="E198">
        <v>36665610699</v>
      </c>
      <c r="F198">
        <v>59016046453</v>
      </c>
      <c r="G198">
        <v>22350435755</v>
      </c>
      <c r="H198">
        <v>1.6658858670000001</v>
      </c>
      <c r="I198">
        <v>4.3987508240000004</v>
      </c>
      <c r="J198">
        <v>1.64048751</v>
      </c>
    </row>
    <row r="199" spans="1:10" x14ac:dyDescent="0.25">
      <c r="A199" t="s">
        <v>16</v>
      </c>
      <c r="B199" s="1">
        <v>43281</v>
      </c>
      <c r="C199">
        <v>18960217812</v>
      </c>
      <c r="D199">
        <v>2711256442</v>
      </c>
      <c r="E199">
        <v>20217118393</v>
      </c>
      <c r="F199">
        <v>63441922522</v>
      </c>
      <c r="G199">
        <v>43224804128</v>
      </c>
      <c r="H199">
        <v>4.2736038470000004</v>
      </c>
      <c r="I199">
        <v>6.2724551249999996</v>
      </c>
      <c r="J199">
        <v>0.467720301</v>
      </c>
    </row>
    <row r="200" spans="1:10" x14ac:dyDescent="0.25">
      <c r="A200" t="s">
        <v>16</v>
      </c>
      <c r="B200" s="1">
        <v>43373</v>
      </c>
      <c r="C200">
        <v>5152922484</v>
      </c>
      <c r="D200">
        <v>599573691.39999998</v>
      </c>
      <c r="E200">
        <v>24935989828</v>
      </c>
      <c r="F200">
        <v>36383148668</v>
      </c>
      <c r="G200">
        <v>11447158840</v>
      </c>
      <c r="H200">
        <v>1.647943384</v>
      </c>
      <c r="I200">
        <v>5.2377511290000003</v>
      </c>
      <c r="J200">
        <v>2.1783562349999999</v>
      </c>
    </row>
    <row r="201" spans="1:10" x14ac:dyDescent="0.25">
      <c r="A201" t="s">
        <v>16</v>
      </c>
      <c r="B201" s="1">
        <v>43465</v>
      </c>
      <c r="C201">
        <v>14737735881</v>
      </c>
      <c r="D201">
        <v>1726421482</v>
      </c>
      <c r="E201">
        <v>41539802392</v>
      </c>
      <c r="F201">
        <v>60496305967</v>
      </c>
      <c r="G201">
        <v>18956503575</v>
      </c>
      <c r="H201">
        <v>2.8537634729999999</v>
      </c>
      <c r="I201">
        <v>9.1072780140000003</v>
      </c>
      <c r="J201">
        <v>2.1913219509999999</v>
      </c>
    </row>
    <row r="202" spans="1:10" x14ac:dyDescent="0.25">
      <c r="A202" t="s">
        <v>16</v>
      </c>
      <c r="B202" s="1">
        <v>43555</v>
      </c>
      <c r="C202">
        <v>11018589464</v>
      </c>
      <c r="D202">
        <v>1097018126</v>
      </c>
      <c r="E202">
        <v>21597719176</v>
      </c>
      <c r="F202">
        <v>57241727973</v>
      </c>
      <c r="G202">
        <v>35644008796</v>
      </c>
      <c r="H202">
        <v>1.9164657759999999</v>
      </c>
      <c r="I202">
        <v>3.077706922</v>
      </c>
      <c r="J202">
        <v>0.60592845500000003</v>
      </c>
    </row>
    <row r="203" spans="1:10" x14ac:dyDescent="0.25">
      <c r="A203" t="s">
        <v>16</v>
      </c>
      <c r="B203" s="1">
        <v>43646</v>
      </c>
      <c r="C203">
        <v>12504841895</v>
      </c>
      <c r="D203">
        <v>639354361.79999995</v>
      </c>
      <c r="E203">
        <v>41871491156</v>
      </c>
      <c r="F203">
        <v>82039997300</v>
      </c>
      <c r="G203">
        <v>40168506143</v>
      </c>
      <c r="H203">
        <v>0.77932031099999999</v>
      </c>
      <c r="I203">
        <v>1.5916807049999999</v>
      </c>
      <c r="J203">
        <v>1.042396026</v>
      </c>
    </row>
    <row r="204" spans="1:10" x14ac:dyDescent="0.25">
      <c r="A204" t="s">
        <v>16</v>
      </c>
      <c r="B204" s="1">
        <v>43738</v>
      </c>
      <c r="C204">
        <v>9545803943</v>
      </c>
      <c r="D204">
        <v>1253796606</v>
      </c>
      <c r="E204">
        <v>34864875291</v>
      </c>
      <c r="F204">
        <v>53486270610</v>
      </c>
      <c r="G204">
        <v>18621395319</v>
      </c>
      <c r="H204">
        <v>2.3441466219999998</v>
      </c>
      <c r="I204">
        <v>6.7330969789999999</v>
      </c>
      <c r="J204">
        <v>1.8723019780000001</v>
      </c>
    </row>
    <row r="205" spans="1:10" x14ac:dyDescent="0.25">
      <c r="A205" t="s">
        <v>16</v>
      </c>
      <c r="B205" s="1">
        <v>43830</v>
      </c>
      <c r="C205">
        <v>10937481164</v>
      </c>
      <c r="D205">
        <v>1145842379</v>
      </c>
      <c r="E205">
        <v>19578678306</v>
      </c>
      <c r="F205">
        <v>31178454239</v>
      </c>
      <c r="G205">
        <v>11599775933</v>
      </c>
      <c r="H205">
        <v>3.6751096470000002</v>
      </c>
      <c r="I205">
        <v>9.8781423549999996</v>
      </c>
      <c r="J205">
        <v>1.687849698</v>
      </c>
    </row>
    <row r="206" spans="1:10" x14ac:dyDescent="0.25">
      <c r="A206" t="s">
        <v>16</v>
      </c>
      <c r="B206" s="1">
        <v>43921</v>
      </c>
      <c r="C206">
        <v>17781237366</v>
      </c>
      <c r="D206">
        <v>1179606125</v>
      </c>
      <c r="E206">
        <v>18447303156</v>
      </c>
      <c r="F206">
        <v>42728183777</v>
      </c>
      <c r="G206">
        <v>24280880621</v>
      </c>
      <c r="H206">
        <v>2.760721427</v>
      </c>
      <c r="I206">
        <v>4.8581686279999996</v>
      </c>
      <c r="J206">
        <v>0.75974605100000003</v>
      </c>
    </row>
    <row r="207" spans="1:10" x14ac:dyDescent="0.25">
      <c r="A207" t="s">
        <v>16</v>
      </c>
      <c r="B207" s="1">
        <v>44012</v>
      </c>
      <c r="C207">
        <v>14075946856</v>
      </c>
      <c r="D207">
        <v>1786382228</v>
      </c>
      <c r="E207">
        <v>42169052107</v>
      </c>
      <c r="F207">
        <v>79023797685</v>
      </c>
      <c r="G207">
        <v>36854745578</v>
      </c>
      <c r="H207">
        <v>2.2605623619999999</v>
      </c>
      <c r="I207">
        <v>4.8470887520000003</v>
      </c>
      <c r="J207">
        <v>1.1441959900000001</v>
      </c>
    </row>
    <row r="208" spans="1:10" x14ac:dyDescent="0.25">
      <c r="A208" t="s">
        <v>16</v>
      </c>
      <c r="B208" s="1">
        <v>44104</v>
      </c>
      <c r="C208">
        <v>17815073829</v>
      </c>
      <c r="D208">
        <v>1375991001</v>
      </c>
      <c r="E208">
        <v>34457237297</v>
      </c>
      <c r="F208">
        <v>48064706274</v>
      </c>
      <c r="G208">
        <v>13607468976</v>
      </c>
      <c r="H208">
        <v>2.862788745</v>
      </c>
      <c r="I208">
        <v>10.112027469999999</v>
      </c>
      <c r="J208">
        <v>2.5322297159999998</v>
      </c>
    </row>
    <row r="209" spans="1:10" x14ac:dyDescent="0.25">
      <c r="A209" t="s">
        <v>16</v>
      </c>
      <c r="B209" s="1">
        <v>44196</v>
      </c>
      <c r="C209">
        <v>8582626126</v>
      </c>
      <c r="D209">
        <v>482111535</v>
      </c>
      <c r="E209">
        <v>40109942612</v>
      </c>
      <c r="F209">
        <v>86478204177</v>
      </c>
      <c r="G209">
        <v>46368261566</v>
      </c>
      <c r="H209">
        <v>0.55749484999999999</v>
      </c>
      <c r="I209">
        <v>1.0397446850000001</v>
      </c>
      <c r="J209">
        <v>0.86503011500000004</v>
      </c>
    </row>
    <row r="210" spans="1:10" x14ac:dyDescent="0.25">
      <c r="A210" t="s">
        <v>16</v>
      </c>
      <c r="B210" s="1">
        <v>44286</v>
      </c>
      <c r="C210">
        <v>17838709007</v>
      </c>
      <c r="D210">
        <v>1559286116</v>
      </c>
      <c r="E210">
        <v>42906482998</v>
      </c>
      <c r="F210">
        <v>53748741344</v>
      </c>
      <c r="G210">
        <v>10842258346</v>
      </c>
      <c r="H210">
        <v>2.901065359</v>
      </c>
      <c r="I210">
        <v>14.381562089999999</v>
      </c>
      <c r="J210">
        <v>3.957338188</v>
      </c>
    </row>
    <row r="211" spans="1:10" x14ac:dyDescent="0.25">
      <c r="A211" t="s">
        <v>16</v>
      </c>
      <c r="B211" s="1">
        <v>44377</v>
      </c>
      <c r="C211">
        <v>15648054896</v>
      </c>
      <c r="D211">
        <v>1066739844</v>
      </c>
      <c r="E211">
        <v>40442076671</v>
      </c>
      <c r="F211">
        <v>75441053988</v>
      </c>
      <c r="G211">
        <v>34998977318</v>
      </c>
      <c r="H211">
        <v>1.4140044279999999</v>
      </c>
      <c r="I211">
        <v>3.0479171840000001</v>
      </c>
      <c r="J211">
        <v>1.1555216690000001</v>
      </c>
    </row>
    <row r="212" spans="1:10" x14ac:dyDescent="0.25">
      <c r="A212" t="s">
        <v>16</v>
      </c>
      <c r="B212" s="1">
        <v>44469</v>
      </c>
      <c r="C212">
        <v>15893645982</v>
      </c>
      <c r="D212">
        <v>2170220695</v>
      </c>
      <c r="E212">
        <v>43221215972</v>
      </c>
      <c r="F212">
        <v>62906987078</v>
      </c>
      <c r="G212">
        <v>19685771106</v>
      </c>
      <c r="H212">
        <v>3.4498881539999999</v>
      </c>
      <c r="I212">
        <v>11.02431133</v>
      </c>
      <c r="J212">
        <v>2.195556158</v>
      </c>
    </row>
    <row r="213" spans="1:10" x14ac:dyDescent="0.25">
      <c r="A213" t="s">
        <v>16</v>
      </c>
      <c r="B213" s="1">
        <v>44561</v>
      </c>
      <c r="C213">
        <v>19604996789</v>
      </c>
      <c r="D213">
        <v>2406144332</v>
      </c>
      <c r="E213">
        <v>39627936994</v>
      </c>
      <c r="F213">
        <v>77954949919</v>
      </c>
      <c r="G213">
        <v>38327012925</v>
      </c>
      <c r="H213">
        <v>3.086583128</v>
      </c>
      <c r="I213">
        <v>6.2779333629999998</v>
      </c>
      <c r="J213">
        <v>1.0339427459999999</v>
      </c>
    </row>
    <row r="214" spans="1:10" x14ac:dyDescent="0.25">
      <c r="A214" t="s">
        <v>16</v>
      </c>
      <c r="B214" s="1">
        <v>44651</v>
      </c>
      <c r="C214">
        <v>13358841713</v>
      </c>
      <c r="D214">
        <v>1013271417</v>
      </c>
      <c r="E214">
        <v>43437924866</v>
      </c>
      <c r="F214">
        <v>86840936189</v>
      </c>
      <c r="G214">
        <v>43403011323</v>
      </c>
      <c r="H214">
        <v>1.1668130969999999</v>
      </c>
      <c r="I214">
        <v>2.3345647839999999</v>
      </c>
      <c r="J214">
        <v>1.0008044039999999</v>
      </c>
    </row>
    <row r="215" spans="1:10" x14ac:dyDescent="0.25">
      <c r="A215" t="s">
        <v>16</v>
      </c>
      <c r="B215" s="1">
        <v>44742</v>
      </c>
      <c r="C215">
        <v>16579977460</v>
      </c>
      <c r="D215">
        <v>877145067</v>
      </c>
      <c r="E215">
        <v>30509379123</v>
      </c>
      <c r="F215">
        <v>76296463396</v>
      </c>
      <c r="G215">
        <v>45787084273</v>
      </c>
      <c r="H215">
        <v>1.149653638</v>
      </c>
      <c r="I215">
        <v>1.915704136</v>
      </c>
      <c r="J215">
        <v>0.66633155600000005</v>
      </c>
    </row>
    <row r="216" spans="1:10" x14ac:dyDescent="0.25">
      <c r="A216" t="s">
        <v>16</v>
      </c>
      <c r="B216" s="1">
        <v>44834</v>
      </c>
      <c r="C216">
        <v>18430272465</v>
      </c>
      <c r="D216">
        <v>1278461027</v>
      </c>
      <c r="E216">
        <v>44184049308</v>
      </c>
      <c r="F216">
        <v>54843099546</v>
      </c>
      <c r="G216">
        <v>10659050238</v>
      </c>
      <c r="H216">
        <v>2.331124677</v>
      </c>
      <c r="I216">
        <v>11.99413642</v>
      </c>
      <c r="J216">
        <v>4.1452144720000001</v>
      </c>
    </row>
    <row r="217" spans="1:10" x14ac:dyDescent="0.25">
      <c r="A217" t="s">
        <v>16</v>
      </c>
      <c r="B217" s="1">
        <v>44926</v>
      </c>
      <c r="C217">
        <v>9363037363</v>
      </c>
      <c r="D217">
        <v>704852259.10000002</v>
      </c>
      <c r="E217">
        <v>34778269496</v>
      </c>
      <c r="F217">
        <v>54701473950</v>
      </c>
      <c r="G217">
        <v>19923204453</v>
      </c>
      <c r="H217">
        <v>1.2885434490000001</v>
      </c>
      <c r="I217">
        <v>3.5378458359999998</v>
      </c>
      <c r="J217">
        <v>1.7456162529999999</v>
      </c>
    </row>
    <row r="218" spans="1:10" x14ac:dyDescent="0.25">
      <c r="A218" t="s">
        <v>16</v>
      </c>
      <c r="B218" s="1">
        <v>45016</v>
      </c>
      <c r="C218">
        <v>13197347212</v>
      </c>
      <c r="D218">
        <v>691428622</v>
      </c>
      <c r="E218">
        <v>43343894473</v>
      </c>
      <c r="F218">
        <v>57721074868</v>
      </c>
      <c r="G218">
        <v>14377180395</v>
      </c>
      <c r="H218">
        <v>1.197878979</v>
      </c>
      <c r="I218">
        <v>4.8092087809999997</v>
      </c>
      <c r="J218">
        <v>3.014770162</v>
      </c>
    </row>
    <row r="219" spans="1:10" x14ac:dyDescent="0.25">
      <c r="A219" t="s">
        <v>16</v>
      </c>
      <c r="B219" s="1">
        <v>45107</v>
      </c>
      <c r="C219">
        <v>6677625789</v>
      </c>
      <c r="D219">
        <v>440969634.69999999</v>
      </c>
      <c r="E219">
        <v>45505367856</v>
      </c>
      <c r="F219">
        <v>68668748604</v>
      </c>
      <c r="G219">
        <v>23163380748</v>
      </c>
      <c r="H219">
        <v>0.64216931799999999</v>
      </c>
      <c r="I219">
        <v>1.9037360720000001</v>
      </c>
      <c r="J219">
        <v>1.9645391299999999</v>
      </c>
    </row>
    <row r="220" spans="1:10" x14ac:dyDescent="0.25">
      <c r="A220" t="s">
        <v>16</v>
      </c>
      <c r="B220" s="1">
        <v>45199</v>
      </c>
      <c r="C220">
        <v>13104191262</v>
      </c>
      <c r="D220">
        <v>1856279741</v>
      </c>
      <c r="E220">
        <v>29165603027</v>
      </c>
      <c r="F220">
        <v>45413408789</v>
      </c>
      <c r="G220">
        <v>16247805762</v>
      </c>
      <c r="H220">
        <v>4.087514659</v>
      </c>
      <c r="I220">
        <v>11.424802639999999</v>
      </c>
      <c r="J220">
        <v>1.7950487260000001</v>
      </c>
    </row>
    <row r="221" spans="1:10" x14ac:dyDescent="0.25">
      <c r="A221" t="s">
        <v>16</v>
      </c>
      <c r="B221" s="1">
        <v>45291</v>
      </c>
      <c r="C221">
        <v>5161220914</v>
      </c>
      <c r="D221">
        <v>527374446.19999999</v>
      </c>
      <c r="E221">
        <v>15838145692</v>
      </c>
      <c r="F221">
        <v>51630867307</v>
      </c>
      <c r="G221">
        <v>35792721615</v>
      </c>
      <c r="H221">
        <v>1.021432476</v>
      </c>
      <c r="I221">
        <v>1.4734125330000001</v>
      </c>
      <c r="J221">
        <v>0.442496267</v>
      </c>
    </row>
    <row r="222" spans="1:10" x14ac:dyDescent="0.25">
      <c r="A222" t="s">
        <v>16</v>
      </c>
      <c r="B222" s="1">
        <v>45382</v>
      </c>
      <c r="C222">
        <v>17637310202</v>
      </c>
      <c r="D222">
        <v>1618745275</v>
      </c>
      <c r="E222">
        <v>24936555962</v>
      </c>
      <c r="F222">
        <v>37936073156</v>
      </c>
      <c r="G222">
        <v>12999517193</v>
      </c>
      <c r="H222">
        <v>4.267034357</v>
      </c>
      <c r="I222">
        <v>12.4523492</v>
      </c>
      <c r="J222">
        <v>1.9182678550000001</v>
      </c>
    </row>
    <row r="223" spans="1:10" x14ac:dyDescent="0.25">
      <c r="A223" t="s">
        <v>16</v>
      </c>
      <c r="B223" s="1">
        <v>45473</v>
      </c>
      <c r="C223">
        <v>9897018704</v>
      </c>
      <c r="D223">
        <v>888471372.70000005</v>
      </c>
      <c r="E223">
        <v>33856303197</v>
      </c>
      <c r="F223">
        <v>55117754937</v>
      </c>
      <c r="G223">
        <v>21261451739</v>
      </c>
      <c r="H223">
        <v>1.61195131</v>
      </c>
      <c r="I223">
        <v>4.1787897809999999</v>
      </c>
      <c r="J223">
        <v>1.5923796560000001</v>
      </c>
    </row>
    <row r="224" spans="1:10" x14ac:dyDescent="0.25">
      <c r="A224" t="s">
        <v>16</v>
      </c>
      <c r="B224" s="1">
        <v>45565</v>
      </c>
      <c r="C224">
        <v>14640665936</v>
      </c>
      <c r="D224">
        <v>2101927829</v>
      </c>
      <c r="E224">
        <v>10787737144</v>
      </c>
      <c r="F224">
        <v>51913035226</v>
      </c>
      <c r="G224">
        <v>41125298082</v>
      </c>
      <c r="H224">
        <v>4.0489403470000003</v>
      </c>
      <c r="I224">
        <v>5.1110336619999996</v>
      </c>
      <c r="J224">
        <v>0.26231389599999999</v>
      </c>
    </row>
    <row r="225" spans="1:10" x14ac:dyDescent="0.25">
      <c r="A225" t="s">
        <v>16</v>
      </c>
      <c r="B225" s="1">
        <v>45657</v>
      </c>
      <c r="C225">
        <v>16456922307</v>
      </c>
      <c r="D225">
        <v>1492220093</v>
      </c>
      <c r="E225">
        <v>48085311015</v>
      </c>
      <c r="F225">
        <v>79618978403</v>
      </c>
      <c r="G225">
        <v>31533667388</v>
      </c>
      <c r="H225">
        <v>1.874201507</v>
      </c>
      <c r="I225">
        <v>4.7321488949999999</v>
      </c>
      <c r="J225">
        <v>1.5248880010000001</v>
      </c>
    </row>
    <row r="226" spans="1:10" x14ac:dyDescent="0.25">
      <c r="A226" t="s">
        <v>17</v>
      </c>
      <c r="B226" s="1">
        <v>42825</v>
      </c>
      <c r="C226">
        <v>6568715630</v>
      </c>
      <c r="D226">
        <v>719090971.20000005</v>
      </c>
      <c r="E226">
        <v>18570025227</v>
      </c>
      <c r="F226">
        <v>65782612977</v>
      </c>
      <c r="G226">
        <v>47212587750</v>
      </c>
      <c r="H226">
        <v>1.093132271</v>
      </c>
      <c r="I226">
        <v>1.523091628</v>
      </c>
      <c r="J226">
        <v>0.39332784100000001</v>
      </c>
    </row>
    <row r="227" spans="1:10" x14ac:dyDescent="0.25">
      <c r="A227" t="s">
        <v>17</v>
      </c>
      <c r="B227" s="1">
        <v>42916</v>
      </c>
      <c r="C227">
        <v>6644029236</v>
      </c>
      <c r="D227">
        <v>744873003.70000005</v>
      </c>
      <c r="E227">
        <v>11294935497</v>
      </c>
      <c r="F227">
        <v>23437806831</v>
      </c>
      <c r="G227">
        <v>12142871334</v>
      </c>
      <c r="H227">
        <v>3.17808321</v>
      </c>
      <c r="I227">
        <v>6.1342410970000003</v>
      </c>
      <c r="J227">
        <v>0.93017007200000001</v>
      </c>
    </row>
    <row r="228" spans="1:10" x14ac:dyDescent="0.25">
      <c r="A228" t="s">
        <v>17</v>
      </c>
      <c r="B228" s="1">
        <v>43008</v>
      </c>
      <c r="C228">
        <v>18227487487</v>
      </c>
      <c r="D228">
        <v>1997618536</v>
      </c>
      <c r="E228">
        <v>40486058249</v>
      </c>
      <c r="F228">
        <v>55383211771</v>
      </c>
      <c r="G228">
        <v>14897153522</v>
      </c>
      <c r="H228">
        <v>3.6069026549999998</v>
      </c>
      <c r="I228">
        <v>13.40939753</v>
      </c>
      <c r="J228">
        <v>2.7177043040000002</v>
      </c>
    </row>
    <row r="229" spans="1:10" x14ac:dyDescent="0.25">
      <c r="A229" t="s">
        <v>17</v>
      </c>
      <c r="B229" s="1">
        <v>43100</v>
      </c>
      <c r="C229">
        <v>17560385805</v>
      </c>
      <c r="D229">
        <v>2276360916</v>
      </c>
      <c r="E229">
        <v>40828269592</v>
      </c>
      <c r="F229">
        <v>73785136305</v>
      </c>
      <c r="G229">
        <v>32956866713</v>
      </c>
      <c r="H229">
        <v>3.0851212449999998</v>
      </c>
      <c r="I229">
        <v>6.9070914290000003</v>
      </c>
      <c r="J229">
        <v>1.2388395400000001</v>
      </c>
    </row>
    <row r="230" spans="1:10" x14ac:dyDescent="0.25">
      <c r="A230" t="s">
        <v>17</v>
      </c>
      <c r="B230" s="1">
        <v>43190</v>
      </c>
      <c r="C230">
        <v>19774628627</v>
      </c>
      <c r="D230">
        <v>1421900578</v>
      </c>
      <c r="E230">
        <v>42095348780</v>
      </c>
      <c r="F230">
        <v>63447988091</v>
      </c>
      <c r="G230">
        <v>21352639311</v>
      </c>
      <c r="H230">
        <v>2.24104912</v>
      </c>
      <c r="I230">
        <v>6.6591326620000002</v>
      </c>
      <c r="J230">
        <v>1.971435389</v>
      </c>
    </row>
    <row r="231" spans="1:10" x14ac:dyDescent="0.25">
      <c r="A231" t="s">
        <v>17</v>
      </c>
      <c r="B231" s="1">
        <v>43281</v>
      </c>
      <c r="C231">
        <v>5282345417</v>
      </c>
      <c r="D231">
        <v>541864195.89999998</v>
      </c>
      <c r="E231">
        <v>34968772981</v>
      </c>
      <c r="F231">
        <v>55603015081</v>
      </c>
      <c r="G231">
        <v>20634242100</v>
      </c>
      <c r="H231">
        <v>0.97452304499999998</v>
      </c>
      <c r="I231">
        <v>2.6260436089999999</v>
      </c>
      <c r="J231">
        <v>1.694696263</v>
      </c>
    </row>
    <row r="232" spans="1:10" x14ac:dyDescent="0.25">
      <c r="A232" t="s">
        <v>17</v>
      </c>
      <c r="B232" s="1">
        <v>43373</v>
      </c>
      <c r="C232">
        <v>8133295785</v>
      </c>
      <c r="D232">
        <v>750601103.20000005</v>
      </c>
      <c r="E232">
        <v>12010781130</v>
      </c>
      <c r="F232">
        <v>31029999758</v>
      </c>
      <c r="G232">
        <v>19019218627</v>
      </c>
      <c r="H232">
        <v>2.4189529780000001</v>
      </c>
      <c r="I232">
        <v>3.94654017</v>
      </c>
      <c r="J232">
        <v>0.63150760100000003</v>
      </c>
    </row>
    <row r="233" spans="1:10" x14ac:dyDescent="0.25">
      <c r="A233" t="s">
        <v>17</v>
      </c>
      <c r="B233" s="1">
        <v>43465</v>
      </c>
      <c r="C233">
        <v>10184334320</v>
      </c>
      <c r="D233">
        <v>1365996842</v>
      </c>
      <c r="E233">
        <v>44932510908</v>
      </c>
      <c r="F233">
        <v>90595603440</v>
      </c>
      <c r="G233">
        <v>45663092533</v>
      </c>
      <c r="H233">
        <v>1.507795953</v>
      </c>
      <c r="I233">
        <v>2.9914680900000001</v>
      </c>
      <c r="J233">
        <v>0.98400061000000005</v>
      </c>
    </row>
    <row r="234" spans="1:10" x14ac:dyDescent="0.25">
      <c r="A234" t="s">
        <v>17</v>
      </c>
      <c r="B234" s="1">
        <v>43555</v>
      </c>
      <c r="C234">
        <v>18300753695</v>
      </c>
      <c r="D234">
        <v>989934361.29999995</v>
      </c>
      <c r="E234">
        <v>24181084351</v>
      </c>
      <c r="F234">
        <v>42408075770</v>
      </c>
      <c r="G234">
        <v>18226991420</v>
      </c>
      <c r="H234">
        <v>2.3343062450000001</v>
      </c>
      <c r="I234">
        <v>5.4311451540000002</v>
      </c>
      <c r="J234">
        <v>1.3266635069999999</v>
      </c>
    </row>
    <row r="235" spans="1:10" x14ac:dyDescent="0.25">
      <c r="A235" t="s">
        <v>17</v>
      </c>
      <c r="B235" s="1">
        <v>43646</v>
      </c>
      <c r="C235">
        <v>13878289168</v>
      </c>
      <c r="D235">
        <v>932271478.5</v>
      </c>
      <c r="E235">
        <v>29658734145</v>
      </c>
      <c r="F235">
        <v>62964273740</v>
      </c>
      <c r="G235">
        <v>33305539595</v>
      </c>
      <c r="H235">
        <v>1.480635642</v>
      </c>
      <c r="I235">
        <v>2.7991483989999999</v>
      </c>
      <c r="J235">
        <v>0.89050453799999996</v>
      </c>
    </row>
    <row r="236" spans="1:10" x14ac:dyDescent="0.25">
      <c r="A236" t="s">
        <v>17</v>
      </c>
      <c r="B236" s="1">
        <v>43738</v>
      </c>
      <c r="C236">
        <v>13973147193</v>
      </c>
      <c r="D236">
        <v>1079900966</v>
      </c>
      <c r="E236">
        <v>48121419304</v>
      </c>
      <c r="F236">
        <v>75654119930</v>
      </c>
      <c r="G236">
        <v>27532700626</v>
      </c>
      <c r="H236">
        <v>1.4274185829999999</v>
      </c>
      <c r="I236">
        <v>3.9222486060000001</v>
      </c>
      <c r="J236">
        <v>1.7477914699999999</v>
      </c>
    </row>
    <row r="237" spans="1:10" x14ac:dyDescent="0.25">
      <c r="A237" t="s">
        <v>17</v>
      </c>
      <c r="B237" s="1">
        <v>43830</v>
      </c>
      <c r="C237">
        <v>8046709255</v>
      </c>
      <c r="D237">
        <v>662165230.70000005</v>
      </c>
      <c r="E237">
        <v>39424977655</v>
      </c>
      <c r="F237">
        <v>89177961232</v>
      </c>
      <c r="G237">
        <v>49752983577</v>
      </c>
      <c r="H237">
        <v>0.74252115799999996</v>
      </c>
      <c r="I237">
        <v>1.330905572</v>
      </c>
      <c r="J237">
        <v>0.79241433999999999</v>
      </c>
    </row>
    <row r="238" spans="1:10" x14ac:dyDescent="0.25">
      <c r="A238" t="s">
        <v>17</v>
      </c>
      <c r="B238" s="1">
        <v>43921</v>
      </c>
      <c r="C238">
        <v>9236017256</v>
      </c>
      <c r="D238">
        <v>529982877.30000001</v>
      </c>
      <c r="E238">
        <v>48081211472</v>
      </c>
      <c r="F238">
        <v>96574017987</v>
      </c>
      <c r="G238">
        <v>48492806515</v>
      </c>
      <c r="H238">
        <v>0.54878412300000001</v>
      </c>
      <c r="I238">
        <v>1.0929103</v>
      </c>
      <c r="J238">
        <v>0.99151224500000001</v>
      </c>
    </row>
    <row r="239" spans="1:10" x14ac:dyDescent="0.25">
      <c r="A239" t="s">
        <v>17</v>
      </c>
      <c r="B239" s="1">
        <v>44012</v>
      </c>
      <c r="C239">
        <v>6413035553</v>
      </c>
      <c r="D239">
        <v>941195826.20000005</v>
      </c>
      <c r="E239">
        <v>19793091472</v>
      </c>
      <c r="F239">
        <v>35210598357</v>
      </c>
      <c r="G239">
        <v>15417506885</v>
      </c>
      <c r="H239">
        <v>2.673046952</v>
      </c>
      <c r="I239">
        <v>6.1047212960000001</v>
      </c>
      <c r="J239">
        <v>1.2838062349999999</v>
      </c>
    </row>
    <row r="240" spans="1:10" x14ac:dyDescent="0.25">
      <c r="A240" t="s">
        <v>17</v>
      </c>
      <c r="B240" s="1">
        <v>44104</v>
      </c>
      <c r="C240">
        <v>15986728775</v>
      </c>
      <c r="D240">
        <v>2071404633</v>
      </c>
      <c r="E240">
        <v>24329632573</v>
      </c>
      <c r="F240">
        <v>49270478198</v>
      </c>
      <c r="G240">
        <v>24940845625</v>
      </c>
      <c r="H240">
        <v>4.204149643</v>
      </c>
      <c r="I240">
        <v>8.3052702549999999</v>
      </c>
      <c r="J240">
        <v>0.97549349100000005</v>
      </c>
    </row>
    <row r="241" spans="1:10" x14ac:dyDescent="0.25">
      <c r="A241" t="s">
        <v>17</v>
      </c>
      <c r="B241" s="1">
        <v>44196</v>
      </c>
      <c r="C241">
        <v>9687560178</v>
      </c>
      <c r="D241">
        <v>1027662516</v>
      </c>
      <c r="E241">
        <v>40817136100</v>
      </c>
      <c r="F241">
        <v>65594337613</v>
      </c>
      <c r="G241">
        <v>24777201513</v>
      </c>
      <c r="H241">
        <v>1.566693946</v>
      </c>
      <c r="I241">
        <v>4.1476133429999997</v>
      </c>
      <c r="J241">
        <v>1.6473666760000001</v>
      </c>
    </row>
    <row r="242" spans="1:10" x14ac:dyDescent="0.25">
      <c r="A242" t="s">
        <v>17</v>
      </c>
      <c r="B242" s="1">
        <v>44286</v>
      </c>
      <c r="C242">
        <v>6588278496</v>
      </c>
      <c r="D242">
        <v>731216298.10000002</v>
      </c>
      <c r="E242">
        <v>11461577968</v>
      </c>
      <c r="F242">
        <v>53638409260</v>
      </c>
      <c r="G242">
        <v>42176831292</v>
      </c>
      <c r="H242">
        <v>1.3632326320000001</v>
      </c>
      <c r="I242">
        <v>1.733691877</v>
      </c>
      <c r="J242">
        <v>0.271750571</v>
      </c>
    </row>
    <row r="243" spans="1:10" x14ac:dyDescent="0.25">
      <c r="A243" t="s">
        <v>17</v>
      </c>
      <c r="B243" s="1">
        <v>44377</v>
      </c>
      <c r="C243">
        <v>11199189899</v>
      </c>
      <c r="D243">
        <v>719949867.5</v>
      </c>
      <c r="E243">
        <v>45007114334</v>
      </c>
      <c r="F243">
        <v>92397807990</v>
      </c>
      <c r="G243">
        <v>47390693656</v>
      </c>
      <c r="H243">
        <v>0.77918500800000001</v>
      </c>
      <c r="I243">
        <v>1.519179847</v>
      </c>
      <c r="J243">
        <v>0.94970364100000004</v>
      </c>
    </row>
    <row r="244" spans="1:10" x14ac:dyDescent="0.25">
      <c r="A244" t="s">
        <v>17</v>
      </c>
      <c r="B244" s="1">
        <v>44469</v>
      </c>
      <c r="C244">
        <v>9000667547</v>
      </c>
      <c r="D244">
        <v>1079598533</v>
      </c>
      <c r="E244">
        <v>20844606335</v>
      </c>
      <c r="F244">
        <v>48683375624</v>
      </c>
      <c r="G244">
        <v>27838769289</v>
      </c>
      <c r="H244">
        <v>2.2175917730000001</v>
      </c>
      <c r="I244">
        <v>3.8780397280000001</v>
      </c>
      <c r="J244">
        <v>0.74876177600000005</v>
      </c>
    </row>
    <row r="245" spans="1:10" x14ac:dyDescent="0.25">
      <c r="A245" t="s">
        <v>17</v>
      </c>
      <c r="B245" s="1">
        <v>44561</v>
      </c>
      <c r="C245">
        <v>12465229611</v>
      </c>
      <c r="D245">
        <v>800983300.39999998</v>
      </c>
      <c r="E245">
        <v>28257880783</v>
      </c>
      <c r="F245">
        <v>51866957482</v>
      </c>
      <c r="G245">
        <v>23609076699</v>
      </c>
      <c r="H245">
        <v>1.544303617</v>
      </c>
      <c r="I245">
        <v>3.3926921860000001</v>
      </c>
      <c r="J245">
        <v>1.196907492</v>
      </c>
    </row>
    <row r="246" spans="1:10" x14ac:dyDescent="0.25">
      <c r="A246" t="s">
        <v>17</v>
      </c>
      <c r="B246" s="1">
        <v>44651</v>
      </c>
      <c r="C246">
        <v>14896500404</v>
      </c>
      <c r="D246">
        <v>1471513321</v>
      </c>
      <c r="E246">
        <v>30918779103</v>
      </c>
      <c r="F246">
        <v>51643572423</v>
      </c>
      <c r="G246">
        <v>20724793320</v>
      </c>
      <c r="H246">
        <v>2.8493639239999999</v>
      </c>
      <c r="I246">
        <v>7.1002557120000001</v>
      </c>
      <c r="J246">
        <v>1.491873942</v>
      </c>
    </row>
    <row r="247" spans="1:10" x14ac:dyDescent="0.25">
      <c r="A247" t="s">
        <v>17</v>
      </c>
      <c r="B247" s="1">
        <v>44742</v>
      </c>
      <c r="C247">
        <v>14799049316</v>
      </c>
      <c r="D247">
        <v>1792143630</v>
      </c>
      <c r="E247">
        <v>35425741218</v>
      </c>
      <c r="F247">
        <v>52933352519</v>
      </c>
      <c r="G247">
        <v>17507611301</v>
      </c>
      <c r="H247">
        <v>3.3856605420000001</v>
      </c>
      <c r="I247">
        <v>10.23636862</v>
      </c>
      <c r="J247">
        <v>2.0234480079999999</v>
      </c>
    </row>
    <row r="248" spans="1:10" x14ac:dyDescent="0.25">
      <c r="A248" t="s">
        <v>17</v>
      </c>
      <c r="B248" s="1">
        <v>44834</v>
      </c>
      <c r="C248">
        <v>18713092617</v>
      </c>
      <c r="D248">
        <v>1701020228</v>
      </c>
      <c r="E248">
        <v>36355439326</v>
      </c>
      <c r="F248">
        <v>47077977464</v>
      </c>
      <c r="G248">
        <v>10722538138</v>
      </c>
      <c r="H248">
        <v>3.613197338</v>
      </c>
      <c r="I248">
        <v>15.86396995</v>
      </c>
      <c r="J248">
        <v>3.3905628370000001</v>
      </c>
    </row>
    <row r="249" spans="1:10" x14ac:dyDescent="0.25">
      <c r="A249" t="s">
        <v>17</v>
      </c>
      <c r="B249" s="1">
        <v>44926</v>
      </c>
      <c r="C249">
        <v>16805465254</v>
      </c>
      <c r="D249">
        <v>1837934274</v>
      </c>
      <c r="E249">
        <v>10102113588</v>
      </c>
      <c r="F249">
        <v>37939001132</v>
      </c>
      <c r="G249">
        <v>27836887544</v>
      </c>
      <c r="H249">
        <v>4.8444456090000001</v>
      </c>
      <c r="I249">
        <v>6.6025135580000001</v>
      </c>
      <c r="J249">
        <v>0.362903847</v>
      </c>
    </row>
    <row r="250" spans="1:10" x14ac:dyDescent="0.25">
      <c r="A250" t="s">
        <v>17</v>
      </c>
      <c r="B250" s="1">
        <v>45016</v>
      </c>
      <c r="C250">
        <v>14505450248</v>
      </c>
      <c r="D250">
        <v>863046066.89999998</v>
      </c>
      <c r="E250">
        <v>22921333603</v>
      </c>
      <c r="F250">
        <v>46384701674</v>
      </c>
      <c r="G250">
        <v>23463368071</v>
      </c>
      <c r="H250">
        <v>1.8606265340000001</v>
      </c>
      <c r="I250">
        <v>3.6782701630000001</v>
      </c>
      <c r="J250">
        <v>0.97689869299999998</v>
      </c>
    </row>
    <row r="251" spans="1:10" x14ac:dyDescent="0.25">
      <c r="A251" t="s">
        <v>17</v>
      </c>
      <c r="B251" s="1">
        <v>45107</v>
      </c>
      <c r="C251">
        <v>10806122549</v>
      </c>
      <c r="D251">
        <v>698788622.5</v>
      </c>
      <c r="E251">
        <v>46400326109</v>
      </c>
      <c r="F251">
        <v>56419077430</v>
      </c>
      <c r="G251">
        <v>10018751320</v>
      </c>
      <c r="H251">
        <v>1.2385679709999999</v>
      </c>
      <c r="I251">
        <v>6.9748075399999996</v>
      </c>
      <c r="J251">
        <v>4.6313482219999997</v>
      </c>
    </row>
    <row r="252" spans="1:10" x14ac:dyDescent="0.25">
      <c r="A252" t="s">
        <v>17</v>
      </c>
      <c r="B252" s="1">
        <v>45199</v>
      </c>
      <c r="C252">
        <v>17167661800</v>
      </c>
      <c r="D252">
        <v>1338393789</v>
      </c>
      <c r="E252">
        <v>26063953489</v>
      </c>
      <c r="F252">
        <v>52362126677</v>
      </c>
      <c r="G252">
        <v>26298173188</v>
      </c>
      <c r="H252">
        <v>2.5560340529999999</v>
      </c>
      <c r="I252">
        <v>5.0893032729999996</v>
      </c>
      <c r="J252">
        <v>0.99109368900000006</v>
      </c>
    </row>
    <row r="253" spans="1:10" x14ac:dyDescent="0.25">
      <c r="A253" t="s">
        <v>17</v>
      </c>
      <c r="B253" s="1">
        <v>45291</v>
      </c>
      <c r="C253">
        <v>13414872686</v>
      </c>
      <c r="D253">
        <v>1069408471</v>
      </c>
      <c r="E253">
        <v>35679098743</v>
      </c>
      <c r="F253">
        <v>80239095201</v>
      </c>
      <c r="G253">
        <v>44559996459</v>
      </c>
      <c r="H253">
        <v>1.332777331</v>
      </c>
      <c r="I253">
        <v>2.3999294350000002</v>
      </c>
      <c r="J253">
        <v>0.80069797099999995</v>
      </c>
    </row>
    <row r="254" spans="1:10" x14ac:dyDescent="0.25">
      <c r="A254" t="s">
        <v>17</v>
      </c>
      <c r="B254" s="1">
        <v>45382</v>
      </c>
      <c r="C254">
        <v>13351789947</v>
      </c>
      <c r="D254">
        <v>761306516.20000005</v>
      </c>
      <c r="E254">
        <v>45369290420</v>
      </c>
      <c r="F254">
        <v>94052696634</v>
      </c>
      <c r="G254">
        <v>48683406213</v>
      </c>
      <c r="H254">
        <v>0.80944677099999995</v>
      </c>
      <c r="I254">
        <v>1.563790571</v>
      </c>
      <c r="J254">
        <v>0.93192514599999998</v>
      </c>
    </row>
    <row r="255" spans="1:10" x14ac:dyDescent="0.25">
      <c r="A255" t="s">
        <v>17</v>
      </c>
      <c r="B255" s="1">
        <v>45473</v>
      </c>
      <c r="C255">
        <v>8144018454</v>
      </c>
      <c r="D255">
        <v>529257365.39999998</v>
      </c>
      <c r="E255">
        <v>31360696540</v>
      </c>
      <c r="F255">
        <v>57876694077</v>
      </c>
      <c r="G255">
        <v>26515997537</v>
      </c>
      <c r="H255">
        <v>0.91445680100000004</v>
      </c>
      <c r="I255">
        <v>1.995992663</v>
      </c>
      <c r="J255">
        <v>1.182708533</v>
      </c>
    </row>
    <row r="256" spans="1:10" x14ac:dyDescent="0.25">
      <c r="A256" t="s">
        <v>17</v>
      </c>
      <c r="B256" s="1">
        <v>45565</v>
      </c>
      <c r="C256">
        <v>10824151396</v>
      </c>
      <c r="D256">
        <v>830279996.20000005</v>
      </c>
      <c r="E256">
        <v>42369695133</v>
      </c>
      <c r="F256">
        <v>72342104340</v>
      </c>
      <c r="G256">
        <v>29972409208</v>
      </c>
      <c r="H256">
        <v>1.14771336</v>
      </c>
      <c r="I256">
        <v>2.7701476729999999</v>
      </c>
      <c r="J256">
        <v>1.4136232710000001</v>
      </c>
    </row>
    <row r="257" spans="1:10" x14ac:dyDescent="0.25">
      <c r="A257" t="s">
        <v>17</v>
      </c>
      <c r="B257" s="1">
        <v>45657</v>
      </c>
      <c r="C257">
        <v>16754700510</v>
      </c>
      <c r="D257">
        <v>923006607.20000005</v>
      </c>
      <c r="E257">
        <v>49206362475</v>
      </c>
      <c r="F257">
        <v>96053458782</v>
      </c>
      <c r="G257">
        <v>46847096308</v>
      </c>
      <c r="H257">
        <v>0.96093010999999995</v>
      </c>
      <c r="I257">
        <v>1.970253612</v>
      </c>
      <c r="J257">
        <v>1.0503609899999999</v>
      </c>
    </row>
    <row r="258" spans="1:10" x14ac:dyDescent="0.25">
      <c r="A258" t="s">
        <v>18</v>
      </c>
      <c r="B258" s="1">
        <v>42825</v>
      </c>
      <c r="C258">
        <v>13027840283</v>
      </c>
      <c r="D258">
        <v>1127343336</v>
      </c>
      <c r="E258">
        <v>48157761467</v>
      </c>
      <c r="F258">
        <v>85094142147</v>
      </c>
      <c r="G258">
        <v>36936380680</v>
      </c>
      <c r="H258">
        <v>1.324818968</v>
      </c>
      <c r="I258">
        <v>3.052121825</v>
      </c>
      <c r="J258">
        <v>1.3038029330000001</v>
      </c>
    </row>
    <row r="259" spans="1:10" x14ac:dyDescent="0.25">
      <c r="A259" t="s">
        <v>18</v>
      </c>
      <c r="B259" s="1">
        <v>42916</v>
      </c>
      <c r="C259">
        <v>8439918128</v>
      </c>
      <c r="D259">
        <v>854234127.5</v>
      </c>
      <c r="E259">
        <v>26356391355</v>
      </c>
      <c r="F259">
        <v>61242421820</v>
      </c>
      <c r="G259">
        <v>34886030465</v>
      </c>
      <c r="H259">
        <v>1.3948405399999999</v>
      </c>
      <c r="I259">
        <v>2.4486423820000001</v>
      </c>
      <c r="J259">
        <v>0.75549986599999996</v>
      </c>
    </row>
    <row r="260" spans="1:10" x14ac:dyDescent="0.25">
      <c r="A260" t="s">
        <v>18</v>
      </c>
      <c r="B260" s="1">
        <v>43008</v>
      </c>
      <c r="C260">
        <v>12670837136</v>
      </c>
      <c r="D260">
        <v>1282915745</v>
      </c>
      <c r="E260">
        <v>20339721000</v>
      </c>
      <c r="F260">
        <v>55136777973</v>
      </c>
      <c r="G260">
        <v>34797056973</v>
      </c>
      <c r="H260">
        <v>2.3267876570000001</v>
      </c>
      <c r="I260">
        <v>3.6868512920000001</v>
      </c>
      <c r="J260">
        <v>0.58452417400000001</v>
      </c>
    </row>
    <row r="261" spans="1:10" x14ac:dyDescent="0.25">
      <c r="A261" t="s">
        <v>18</v>
      </c>
      <c r="B261" s="1">
        <v>43100</v>
      </c>
      <c r="C261">
        <v>18251254610</v>
      </c>
      <c r="D261">
        <v>2670535587</v>
      </c>
      <c r="E261">
        <v>16524775630</v>
      </c>
      <c r="F261">
        <v>29169852309</v>
      </c>
      <c r="G261">
        <v>12645076680</v>
      </c>
      <c r="H261">
        <v>9.1551220699999991</v>
      </c>
      <c r="I261">
        <v>21.11917274</v>
      </c>
      <c r="J261">
        <v>1.30681498</v>
      </c>
    </row>
    <row r="262" spans="1:10" x14ac:dyDescent="0.25">
      <c r="A262" t="s">
        <v>18</v>
      </c>
      <c r="B262" s="1">
        <v>43190</v>
      </c>
      <c r="C262">
        <v>6560227745</v>
      </c>
      <c r="D262">
        <v>884011217.39999998</v>
      </c>
      <c r="E262">
        <v>46074070728</v>
      </c>
      <c r="F262">
        <v>59231903754</v>
      </c>
      <c r="G262">
        <v>13157833026</v>
      </c>
      <c r="H262">
        <v>1.492457884</v>
      </c>
      <c r="I262">
        <v>6.7185167630000002</v>
      </c>
      <c r="J262">
        <v>3.5016457980000002</v>
      </c>
    </row>
    <row r="263" spans="1:10" x14ac:dyDescent="0.25">
      <c r="A263" t="s">
        <v>18</v>
      </c>
      <c r="B263" s="1">
        <v>43281</v>
      </c>
      <c r="C263">
        <v>14443060707</v>
      </c>
      <c r="D263">
        <v>1684483053</v>
      </c>
      <c r="E263">
        <v>37340600075</v>
      </c>
      <c r="F263">
        <v>64364816177</v>
      </c>
      <c r="G263">
        <v>27024216101</v>
      </c>
      <c r="H263">
        <v>2.6170867150000001</v>
      </c>
      <c r="I263">
        <v>6.2332355809999997</v>
      </c>
      <c r="J263">
        <v>1.38174591</v>
      </c>
    </row>
    <row r="264" spans="1:10" x14ac:dyDescent="0.25">
      <c r="A264" t="s">
        <v>18</v>
      </c>
      <c r="B264" s="1">
        <v>43373</v>
      </c>
      <c r="C264">
        <v>8605806470</v>
      </c>
      <c r="D264">
        <v>524552249.30000001</v>
      </c>
      <c r="E264">
        <v>34919186753</v>
      </c>
      <c r="F264">
        <v>46399878511</v>
      </c>
      <c r="G264">
        <v>11480691758</v>
      </c>
      <c r="H264">
        <v>1.1305034970000001</v>
      </c>
      <c r="I264">
        <v>4.5689951469999999</v>
      </c>
      <c r="J264">
        <v>3.041557729</v>
      </c>
    </row>
    <row r="265" spans="1:10" x14ac:dyDescent="0.25">
      <c r="A265" t="s">
        <v>18</v>
      </c>
      <c r="B265" s="1">
        <v>43465</v>
      </c>
      <c r="C265">
        <v>18541451915</v>
      </c>
      <c r="D265">
        <v>2242441772</v>
      </c>
      <c r="E265">
        <v>28896911499</v>
      </c>
      <c r="F265">
        <v>58238408654</v>
      </c>
      <c r="G265">
        <v>29341497155</v>
      </c>
      <c r="H265">
        <v>3.850451659</v>
      </c>
      <c r="I265">
        <v>7.642560842</v>
      </c>
      <c r="J265">
        <v>0.984847888</v>
      </c>
    </row>
    <row r="266" spans="1:10" x14ac:dyDescent="0.25">
      <c r="A266" t="s">
        <v>18</v>
      </c>
      <c r="B266" s="1">
        <v>43555</v>
      </c>
      <c r="C266">
        <v>15790567330</v>
      </c>
      <c r="D266">
        <v>951709509</v>
      </c>
      <c r="E266">
        <v>15068249757</v>
      </c>
      <c r="F266">
        <v>54818573513</v>
      </c>
      <c r="G266">
        <v>39750323756</v>
      </c>
      <c r="H266">
        <v>1.736107761</v>
      </c>
      <c r="I266">
        <v>2.394218258</v>
      </c>
      <c r="J266">
        <v>0.37907237799999999</v>
      </c>
    </row>
    <row r="267" spans="1:10" x14ac:dyDescent="0.25">
      <c r="A267" t="s">
        <v>18</v>
      </c>
      <c r="B267" s="1">
        <v>43646</v>
      </c>
      <c r="C267">
        <v>13365845309</v>
      </c>
      <c r="D267">
        <v>1437180604</v>
      </c>
      <c r="E267">
        <v>30394456127</v>
      </c>
      <c r="F267">
        <v>61175428677</v>
      </c>
      <c r="G267">
        <v>30780972550</v>
      </c>
      <c r="H267">
        <v>2.3492775360000002</v>
      </c>
      <c r="I267">
        <v>4.6690552140000001</v>
      </c>
      <c r="J267">
        <v>0.98744300799999996</v>
      </c>
    </row>
    <row r="268" spans="1:10" x14ac:dyDescent="0.25">
      <c r="A268" t="s">
        <v>18</v>
      </c>
      <c r="B268" s="1">
        <v>43738</v>
      </c>
      <c r="C268">
        <v>11417678713</v>
      </c>
      <c r="D268">
        <v>984493632.89999998</v>
      </c>
      <c r="E268">
        <v>43202192055</v>
      </c>
      <c r="F268">
        <v>87180029468</v>
      </c>
      <c r="G268">
        <v>43977837414</v>
      </c>
      <c r="H268">
        <v>1.129265084</v>
      </c>
      <c r="I268">
        <v>2.238613108</v>
      </c>
      <c r="J268">
        <v>0.98236281299999995</v>
      </c>
    </row>
    <row r="269" spans="1:10" x14ac:dyDescent="0.25">
      <c r="A269" t="s">
        <v>18</v>
      </c>
      <c r="B269" s="1">
        <v>43830</v>
      </c>
      <c r="C269">
        <v>17402979577</v>
      </c>
      <c r="D269">
        <v>1387637302</v>
      </c>
      <c r="E269">
        <v>31887265220</v>
      </c>
      <c r="F269">
        <v>61548783018</v>
      </c>
      <c r="G269">
        <v>29661517798</v>
      </c>
      <c r="H269">
        <v>2.2545324760000001</v>
      </c>
      <c r="I269">
        <v>4.6782410499999996</v>
      </c>
      <c r="J269">
        <v>1.0750382169999999</v>
      </c>
    </row>
    <row r="270" spans="1:10" x14ac:dyDescent="0.25">
      <c r="A270" t="s">
        <v>18</v>
      </c>
      <c r="B270" s="1">
        <v>43921</v>
      </c>
      <c r="C270">
        <v>14107423353</v>
      </c>
      <c r="D270">
        <v>1367599932</v>
      </c>
      <c r="E270">
        <v>13615077246</v>
      </c>
      <c r="F270">
        <v>27849556029</v>
      </c>
      <c r="G270">
        <v>14234478784</v>
      </c>
      <c r="H270">
        <v>4.9106704969999999</v>
      </c>
      <c r="I270">
        <v>9.6076572410000001</v>
      </c>
      <c r="J270">
        <v>0.95648582900000001</v>
      </c>
    </row>
    <row r="271" spans="1:10" x14ac:dyDescent="0.25">
      <c r="A271" t="s">
        <v>18</v>
      </c>
      <c r="B271" s="1">
        <v>44012</v>
      </c>
      <c r="C271">
        <v>12664152205</v>
      </c>
      <c r="D271">
        <v>953498605.79999995</v>
      </c>
      <c r="E271">
        <v>14551986231</v>
      </c>
      <c r="F271">
        <v>38961279021</v>
      </c>
      <c r="G271">
        <v>24409292791</v>
      </c>
      <c r="H271">
        <v>2.4472980089999998</v>
      </c>
      <c r="I271">
        <v>3.9062934509999998</v>
      </c>
      <c r="J271">
        <v>0.59616582699999998</v>
      </c>
    </row>
    <row r="272" spans="1:10" x14ac:dyDescent="0.25">
      <c r="A272" t="s">
        <v>18</v>
      </c>
      <c r="B272" s="1">
        <v>44104</v>
      </c>
      <c r="C272">
        <v>7778215290</v>
      </c>
      <c r="D272">
        <v>1028179890</v>
      </c>
      <c r="E272">
        <v>32630440063</v>
      </c>
      <c r="F272">
        <v>51398528756</v>
      </c>
      <c r="G272">
        <v>18768088693</v>
      </c>
      <c r="H272">
        <v>2.0004072380000002</v>
      </c>
      <c r="I272">
        <v>5.4783409570000003</v>
      </c>
      <c r="J272">
        <v>1.7386128439999999</v>
      </c>
    </row>
    <row r="273" spans="1:10" x14ac:dyDescent="0.25">
      <c r="A273" t="s">
        <v>18</v>
      </c>
      <c r="B273" s="1">
        <v>44196</v>
      </c>
      <c r="C273">
        <v>14954913916</v>
      </c>
      <c r="D273">
        <v>1086100755</v>
      </c>
      <c r="E273">
        <v>49223539015</v>
      </c>
      <c r="F273">
        <v>87910824435</v>
      </c>
      <c r="G273">
        <v>38687285420</v>
      </c>
      <c r="H273">
        <v>1.235457365</v>
      </c>
      <c r="I273">
        <v>2.807384243</v>
      </c>
      <c r="J273">
        <v>1.2723440909999999</v>
      </c>
    </row>
    <row r="274" spans="1:10" x14ac:dyDescent="0.25">
      <c r="A274" t="s">
        <v>18</v>
      </c>
      <c r="B274" s="1">
        <v>44286</v>
      </c>
      <c r="C274">
        <v>15481381698</v>
      </c>
      <c r="D274">
        <v>1813221637</v>
      </c>
      <c r="E274">
        <v>20090535950</v>
      </c>
      <c r="F274">
        <v>39516175321</v>
      </c>
      <c r="G274">
        <v>19425639371</v>
      </c>
      <c r="H274">
        <v>4.5885555030000003</v>
      </c>
      <c r="I274">
        <v>9.3341670899999993</v>
      </c>
      <c r="J274">
        <v>1.034227784</v>
      </c>
    </row>
    <row r="275" spans="1:10" x14ac:dyDescent="0.25">
      <c r="A275" t="s">
        <v>18</v>
      </c>
      <c r="B275" s="1">
        <v>44377</v>
      </c>
      <c r="C275">
        <v>11712522838</v>
      </c>
      <c r="D275">
        <v>1191464502</v>
      </c>
      <c r="E275">
        <v>39707273398</v>
      </c>
      <c r="F275">
        <v>77463236730</v>
      </c>
      <c r="G275">
        <v>37755963332</v>
      </c>
      <c r="H275">
        <v>1.5381031730000001</v>
      </c>
      <c r="I275">
        <v>3.1556988549999998</v>
      </c>
      <c r="J275">
        <v>1.051682169</v>
      </c>
    </row>
    <row r="276" spans="1:10" x14ac:dyDescent="0.25">
      <c r="A276" t="s">
        <v>18</v>
      </c>
      <c r="B276" s="1">
        <v>44469</v>
      </c>
      <c r="C276">
        <v>13756386408</v>
      </c>
      <c r="D276">
        <v>721617987.5</v>
      </c>
      <c r="E276">
        <v>44559907041</v>
      </c>
      <c r="F276">
        <v>88194004126</v>
      </c>
      <c r="G276">
        <v>43634097086</v>
      </c>
      <c r="H276">
        <v>0.81821660600000001</v>
      </c>
      <c r="I276">
        <v>1.6537937890000001</v>
      </c>
      <c r="J276">
        <v>1.0212175800000001</v>
      </c>
    </row>
    <row r="277" spans="1:10" x14ac:dyDescent="0.25">
      <c r="A277" t="s">
        <v>18</v>
      </c>
      <c r="B277" s="1">
        <v>44561</v>
      </c>
      <c r="C277">
        <v>13009192330</v>
      </c>
      <c r="D277">
        <v>1451167596</v>
      </c>
      <c r="E277">
        <v>31049801948</v>
      </c>
      <c r="F277">
        <v>49482603845</v>
      </c>
      <c r="G277">
        <v>18432801897</v>
      </c>
      <c r="H277">
        <v>2.9326823640000002</v>
      </c>
      <c r="I277">
        <v>7.872745579</v>
      </c>
      <c r="J277">
        <v>1.684486283</v>
      </c>
    </row>
    <row r="278" spans="1:10" x14ac:dyDescent="0.25">
      <c r="A278" t="s">
        <v>18</v>
      </c>
      <c r="B278" s="1">
        <v>44651</v>
      </c>
      <c r="C278">
        <v>9090799678</v>
      </c>
      <c r="D278">
        <v>904181650.89999998</v>
      </c>
      <c r="E278">
        <v>49055627276</v>
      </c>
      <c r="F278">
        <v>76658563614</v>
      </c>
      <c r="G278">
        <v>27602936339</v>
      </c>
      <c r="H278">
        <v>1.1794920339999999</v>
      </c>
      <c r="I278">
        <v>3.2756719790000002</v>
      </c>
      <c r="J278">
        <v>1.7771887260000001</v>
      </c>
    </row>
    <row r="279" spans="1:10" x14ac:dyDescent="0.25">
      <c r="A279" t="s">
        <v>18</v>
      </c>
      <c r="B279" s="1">
        <v>44742</v>
      </c>
      <c r="C279">
        <v>7918029220</v>
      </c>
      <c r="D279">
        <v>810924591.5</v>
      </c>
      <c r="E279">
        <v>42824962792</v>
      </c>
      <c r="F279">
        <v>91140421051</v>
      </c>
      <c r="G279">
        <v>48315458259</v>
      </c>
      <c r="H279">
        <v>0.88975295700000001</v>
      </c>
      <c r="I279">
        <v>1.678395737</v>
      </c>
      <c r="J279">
        <v>0.88636151500000004</v>
      </c>
    </row>
    <row r="280" spans="1:10" x14ac:dyDescent="0.25">
      <c r="A280" t="s">
        <v>18</v>
      </c>
      <c r="B280" s="1">
        <v>44834</v>
      </c>
      <c r="C280">
        <v>10642582906</v>
      </c>
      <c r="D280">
        <v>1154447670</v>
      </c>
      <c r="E280">
        <v>44364932131</v>
      </c>
      <c r="F280">
        <v>75643621464</v>
      </c>
      <c r="G280">
        <v>31278689333</v>
      </c>
      <c r="H280">
        <v>1.5261665790000001</v>
      </c>
      <c r="I280">
        <v>3.690844131</v>
      </c>
      <c r="J280">
        <v>1.4183756759999999</v>
      </c>
    </row>
    <row r="281" spans="1:10" x14ac:dyDescent="0.25">
      <c r="A281" t="s">
        <v>18</v>
      </c>
      <c r="B281" s="1">
        <v>44926</v>
      </c>
      <c r="C281">
        <v>19647577142</v>
      </c>
      <c r="D281">
        <v>1826544478</v>
      </c>
      <c r="E281">
        <v>10046371516</v>
      </c>
      <c r="F281">
        <v>37513857859</v>
      </c>
      <c r="G281">
        <v>27467486343</v>
      </c>
      <c r="H281">
        <v>4.8689859750000002</v>
      </c>
      <c r="I281">
        <v>6.6498421260000002</v>
      </c>
      <c r="J281">
        <v>0.36575503799999998</v>
      </c>
    </row>
    <row r="282" spans="1:10" x14ac:dyDescent="0.25">
      <c r="A282" t="s">
        <v>18</v>
      </c>
      <c r="B282" s="1">
        <v>45016</v>
      </c>
      <c r="C282">
        <v>15711957620</v>
      </c>
      <c r="D282">
        <v>2201969781</v>
      </c>
      <c r="E282">
        <v>29454258021</v>
      </c>
      <c r="F282">
        <v>71356904907</v>
      </c>
      <c r="G282">
        <v>41902646886</v>
      </c>
      <c r="H282">
        <v>3.0858538260000001</v>
      </c>
      <c r="I282">
        <v>5.2549658409999997</v>
      </c>
      <c r="J282">
        <v>0.70292118100000001</v>
      </c>
    </row>
    <row r="283" spans="1:10" x14ac:dyDescent="0.25">
      <c r="A283" t="s">
        <v>18</v>
      </c>
      <c r="B283" s="1">
        <v>45107</v>
      </c>
      <c r="C283">
        <v>10038837028</v>
      </c>
      <c r="D283">
        <v>1319011419</v>
      </c>
      <c r="E283">
        <v>42095419645</v>
      </c>
      <c r="F283">
        <v>52756441711</v>
      </c>
      <c r="G283">
        <v>10661022066</v>
      </c>
      <c r="H283">
        <v>2.5001902629999999</v>
      </c>
      <c r="I283">
        <v>12.37227923</v>
      </c>
      <c r="J283">
        <v>3.9485350829999999</v>
      </c>
    </row>
    <row r="284" spans="1:10" x14ac:dyDescent="0.25">
      <c r="A284" t="s">
        <v>18</v>
      </c>
      <c r="B284" s="1">
        <v>45199</v>
      </c>
      <c r="C284">
        <v>9457609977</v>
      </c>
      <c r="D284">
        <v>1131311165</v>
      </c>
      <c r="E284">
        <v>40856047831</v>
      </c>
      <c r="F284">
        <v>77252438398</v>
      </c>
      <c r="G284">
        <v>36396390567</v>
      </c>
      <c r="H284">
        <v>1.464434247</v>
      </c>
      <c r="I284">
        <v>3.1083059259999999</v>
      </c>
      <c r="J284">
        <v>1.1225302070000001</v>
      </c>
    </row>
    <row r="285" spans="1:10" x14ac:dyDescent="0.25">
      <c r="A285" t="s">
        <v>18</v>
      </c>
      <c r="B285" s="1">
        <v>45291</v>
      </c>
      <c r="C285">
        <v>15851738346</v>
      </c>
      <c r="D285">
        <v>905684923</v>
      </c>
      <c r="E285">
        <v>42371799830</v>
      </c>
      <c r="F285">
        <v>52389418748</v>
      </c>
      <c r="G285">
        <v>10017618918</v>
      </c>
      <c r="H285">
        <v>1.7287554329999999</v>
      </c>
      <c r="I285">
        <v>9.0409201059999997</v>
      </c>
      <c r="J285">
        <v>4.22972766</v>
      </c>
    </row>
    <row r="286" spans="1:10" x14ac:dyDescent="0.25">
      <c r="A286" t="s">
        <v>18</v>
      </c>
      <c r="B286" s="1">
        <v>45382</v>
      </c>
      <c r="C286">
        <v>10194351917</v>
      </c>
      <c r="D286">
        <v>1512864021</v>
      </c>
      <c r="E286">
        <v>26311852797</v>
      </c>
      <c r="F286">
        <v>62689824382</v>
      </c>
      <c r="G286">
        <v>36377971585</v>
      </c>
      <c r="H286">
        <v>2.4132529260000002</v>
      </c>
      <c r="I286">
        <v>4.1587366059999997</v>
      </c>
      <c r="J286">
        <v>0.72329081699999997</v>
      </c>
    </row>
    <row r="287" spans="1:10" x14ac:dyDescent="0.25">
      <c r="A287" t="s">
        <v>18</v>
      </c>
      <c r="B287" s="1">
        <v>45473</v>
      </c>
      <c r="C287">
        <v>7369565272</v>
      </c>
      <c r="D287">
        <v>1064148244</v>
      </c>
      <c r="E287">
        <v>20591206981</v>
      </c>
      <c r="F287">
        <v>42904241960</v>
      </c>
      <c r="G287">
        <v>22313034979</v>
      </c>
      <c r="H287">
        <v>2.4802867850000001</v>
      </c>
      <c r="I287">
        <v>4.7691774999999996</v>
      </c>
      <c r="J287">
        <v>0.92283308799999997</v>
      </c>
    </row>
    <row r="288" spans="1:10" x14ac:dyDescent="0.25">
      <c r="A288" t="s">
        <v>18</v>
      </c>
      <c r="B288" s="1">
        <v>45565</v>
      </c>
      <c r="C288">
        <v>9332023907</v>
      </c>
      <c r="D288">
        <v>746667545.10000002</v>
      </c>
      <c r="E288">
        <v>23673143006</v>
      </c>
      <c r="F288">
        <v>42677324477</v>
      </c>
      <c r="G288">
        <v>19004181470</v>
      </c>
      <c r="H288">
        <v>1.7495650309999999</v>
      </c>
      <c r="I288">
        <v>3.928964508</v>
      </c>
      <c r="J288">
        <v>1.2456807489999999</v>
      </c>
    </row>
    <row r="289" spans="1:10" x14ac:dyDescent="0.25">
      <c r="A289" t="s">
        <v>18</v>
      </c>
      <c r="B289" s="1">
        <v>45657</v>
      </c>
      <c r="C289">
        <v>5728072323</v>
      </c>
      <c r="D289">
        <v>604515777.29999995</v>
      </c>
      <c r="E289">
        <v>34398569588</v>
      </c>
      <c r="F289">
        <v>80121015584</v>
      </c>
      <c r="G289">
        <v>45722445996</v>
      </c>
      <c r="H289">
        <v>0.75450338800000005</v>
      </c>
      <c r="I289">
        <v>1.3221422519999999</v>
      </c>
      <c r="J289">
        <v>0.75233441300000004</v>
      </c>
    </row>
    <row r="290" spans="1:10" x14ac:dyDescent="0.25">
      <c r="A290" t="s">
        <v>19</v>
      </c>
      <c r="B290" s="1">
        <v>42825</v>
      </c>
      <c r="C290">
        <v>14843015558</v>
      </c>
      <c r="D290">
        <v>1680873545</v>
      </c>
      <c r="E290">
        <v>14840428879</v>
      </c>
      <c r="F290">
        <v>46770654578</v>
      </c>
      <c r="G290">
        <v>31930225699</v>
      </c>
      <c r="H290">
        <v>3.5938636320000001</v>
      </c>
      <c r="I290">
        <v>5.2642081550000004</v>
      </c>
      <c r="J290">
        <v>0.46477682399999998</v>
      </c>
    </row>
    <row r="291" spans="1:10" x14ac:dyDescent="0.25">
      <c r="A291" t="s">
        <v>19</v>
      </c>
      <c r="B291" s="1">
        <v>42916</v>
      </c>
      <c r="C291">
        <v>19544012256</v>
      </c>
      <c r="D291">
        <v>2752792674</v>
      </c>
      <c r="E291">
        <v>13706520368</v>
      </c>
      <c r="F291">
        <v>55551723268</v>
      </c>
      <c r="G291">
        <v>41845202900</v>
      </c>
      <c r="H291">
        <v>4.9553686409999997</v>
      </c>
      <c r="I291">
        <v>6.5785143430000002</v>
      </c>
      <c r="J291">
        <v>0.32755296699999997</v>
      </c>
    </row>
    <row r="292" spans="1:10" x14ac:dyDescent="0.25">
      <c r="A292" t="s">
        <v>19</v>
      </c>
      <c r="B292" s="1">
        <v>43008</v>
      </c>
      <c r="C292">
        <v>19868905162</v>
      </c>
      <c r="D292">
        <v>1429630591</v>
      </c>
      <c r="E292">
        <v>12720436994</v>
      </c>
      <c r="F292">
        <v>42183197053</v>
      </c>
      <c r="G292">
        <v>29462760059</v>
      </c>
      <c r="H292">
        <v>3.3890996659999999</v>
      </c>
      <c r="I292">
        <v>4.8523308329999999</v>
      </c>
      <c r="J292">
        <v>0.43174627799999998</v>
      </c>
    </row>
    <row r="293" spans="1:10" x14ac:dyDescent="0.25">
      <c r="A293" t="s">
        <v>19</v>
      </c>
      <c r="B293" s="1">
        <v>43100</v>
      </c>
      <c r="C293">
        <v>9318303083</v>
      </c>
      <c r="D293">
        <v>958508333.70000005</v>
      </c>
      <c r="E293">
        <v>11123712659</v>
      </c>
      <c r="F293">
        <v>49692010679</v>
      </c>
      <c r="G293">
        <v>38568298020</v>
      </c>
      <c r="H293">
        <v>1.9288982690000001</v>
      </c>
      <c r="I293">
        <v>2.4852233130000001</v>
      </c>
      <c r="J293">
        <v>0.288415959</v>
      </c>
    </row>
    <row r="294" spans="1:10" x14ac:dyDescent="0.25">
      <c r="A294" t="s">
        <v>19</v>
      </c>
      <c r="B294" s="1">
        <v>43190</v>
      </c>
      <c r="C294">
        <v>13740924616</v>
      </c>
      <c r="D294">
        <v>1900766775</v>
      </c>
      <c r="E294">
        <v>46035800087</v>
      </c>
      <c r="F294">
        <v>57764409125</v>
      </c>
      <c r="G294">
        <v>11728609038</v>
      </c>
      <c r="H294">
        <v>3.2905500179999998</v>
      </c>
      <c r="I294">
        <v>16.20624209</v>
      </c>
      <c r="J294">
        <v>3.9250860809999999</v>
      </c>
    </row>
    <row r="295" spans="1:10" x14ac:dyDescent="0.25">
      <c r="A295" t="s">
        <v>19</v>
      </c>
      <c r="B295" s="1">
        <v>43281</v>
      </c>
      <c r="C295">
        <v>7788761208</v>
      </c>
      <c r="D295">
        <v>663079894</v>
      </c>
      <c r="E295">
        <v>30096796442</v>
      </c>
      <c r="F295">
        <v>49497014532</v>
      </c>
      <c r="G295">
        <v>19400218090</v>
      </c>
      <c r="H295">
        <v>1.3396361379999999</v>
      </c>
      <c r="I295">
        <v>3.4178991750000001</v>
      </c>
      <c r="J295">
        <v>1.5513638199999999</v>
      </c>
    </row>
    <row r="296" spans="1:10" x14ac:dyDescent="0.25">
      <c r="A296" t="s">
        <v>19</v>
      </c>
      <c r="B296" s="1">
        <v>43373</v>
      </c>
      <c r="C296">
        <v>17771922214</v>
      </c>
      <c r="D296">
        <v>1082288023</v>
      </c>
      <c r="E296">
        <v>48317236409</v>
      </c>
      <c r="F296">
        <v>88972406897</v>
      </c>
      <c r="G296">
        <v>40655170488</v>
      </c>
      <c r="H296">
        <v>1.2164310949999999</v>
      </c>
      <c r="I296">
        <v>2.6621165530000002</v>
      </c>
      <c r="J296">
        <v>1.1884647349999999</v>
      </c>
    </row>
    <row r="297" spans="1:10" x14ac:dyDescent="0.25">
      <c r="A297" t="s">
        <v>19</v>
      </c>
      <c r="B297" s="1">
        <v>43465</v>
      </c>
      <c r="C297">
        <v>8808021584</v>
      </c>
      <c r="D297">
        <v>1274941171</v>
      </c>
      <c r="E297">
        <v>36770248755</v>
      </c>
      <c r="F297">
        <v>55390246152</v>
      </c>
      <c r="G297">
        <v>18619997397</v>
      </c>
      <c r="H297">
        <v>2.3017431039999998</v>
      </c>
      <c r="I297">
        <v>6.8471608440000002</v>
      </c>
      <c r="J297">
        <v>1.97477196</v>
      </c>
    </row>
    <row r="298" spans="1:10" x14ac:dyDescent="0.25">
      <c r="A298" t="s">
        <v>19</v>
      </c>
      <c r="B298" s="1">
        <v>43555</v>
      </c>
      <c r="C298">
        <v>11192425819</v>
      </c>
      <c r="D298">
        <v>1563079220</v>
      </c>
      <c r="E298">
        <v>10546244209</v>
      </c>
      <c r="F298">
        <v>38688850201</v>
      </c>
      <c r="G298">
        <v>28142605992</v>
      </c>
      <c r="H298">
        <v>4.0401283870000002</v>
      </c>
      <c r="I298">
        <v>5.5541381640000003</v>
      </c>
      <c r="J298">
        <v>0.374742986</v>
      </c>
    </row>
    <row r="299" spans="1:10" x14ac:dyDescent="0.25">
      <c r="A299" t="s">
        <v>19</v>
      </c>
      <c r="B299" s="1">
        <v>43646</v>
      </c>
      <c r="C299">
        <v>9538166828</v>
      </c>
      <c r="D299">
        <v>766520233.89999998</v>
      </c>
      <c r="E299">
        <v>38799826104</v>
      </c>
      <c r="F299">
        <v>70810004871</v>
      </c>
      <c r="G299">
        <v>32010178767</v>
      </c>
      <c r="H299">
        <v>1.0825027270000001</v>
      </c>
      <c r="I299">
        <v>2.3946140370000002</v>
      </c>
      <c r="J299">
        <v>1.21210901</v>
      </c>
    </row>
    <row r="300" spans="1:10" x14ac:dyDescent="0.25">
      <c r="A300" t="s">
        <v>19</v>
      </c>
      <c r="B300" s="1">
        <v>43738</v>
      </c>
      <c r="C300">
        <v>6824564419</v>
      </c>
      <c r="D300">
        <v>375695945.89999998</v>
      </c>
      <c r="E300">
        <v>12634199326</v>
      </c>
      <c r="F300">
        <v>28137106192</v>
      </c>
      <c r="G300">
        <v>15502906866</v>
      </c>
      <c r="H300">
        <v>1.3352330670000001</v>
      </c>
      <c r="I300">
        <v>2.4233903300000001</v>
      </c>
      <c r="J300">
        <v>0.81495679700000001</v>
      </c>
    </row>
    <row r="301" spans="1:10" x14ac:dyDescent="0.25">
      <c r="A301" t="s">
        <v>19</v>
      </c>
      <c r="B301" s="1">
        <v>43830</v>
      </c>
      <c r="C301">
        <v>9814156310</v>
      </c>
      <c r="D301">
        <v>576451352.5</v>
      </c>
      <c r="E301">
        <v>25131659304</v>
      </c>
      <c r="F301">
        <v>46301105258</v>
      </c>
      <c r="G301">
        <v>21169445954</v>
      </c>
      <c r="H301">
        <v>1.2450055980000001</v>
      </c>
      <c r="I301">
        <v>2.723034669</v>
      </c>
      <c r="J301">
        <v>1.1871666059999999</v>
      </c>
    </row>
    <row r="302" spans="1:10" x14ac:dyDescent="0.25">
      <c r="A302" t="s">
        <v>19</v>
      </c>
      <c r="B302" s="1">
        <v>43921</v>
      </c>
      <c r="C302">
        <v>11812773682</v>
      </c>
      <c r="D302">
        <v>980285159.39999998</v>
      </c>
      <c r="E302">
        <v>44322011186</v>
      </c>
      <c r="F302">
        <v>92083567435</v>
      </c>
      <c r="G302">
        <v>47761556249</v>
      </c>
      <c r="H302">
        <v>1.064560363</v>
      </c>
      <c r="I302">
        <v>2.0524564870000002</v>
      </c>
      <c r="J302">
        <v>0.92798507100000005</v>
      </c>
    </row>
    <row r="303" spans="1:10" x14ac:dyDescent="0.25">
      <c r="A303" t="s">
        <v>19</v>
      </c>
      <c r="B303" s="1">
        <v>44012</v>
      </c>
      <c r="C303">
        <v>16087302422</v>
      </c>
      <c r="D303">
        <v>1326310547</v>
      </c>
      <c r="E303">
        <v>32589277601</v>
      </c>
      <c r="F303">
        <v>54693171121</v>
      </c>
      <c r="G303">
        <v>22103893521</v>
      </c>
      <c r="H303">
        <v>2.4250020970000001</v>
      </c>
      <c r="I303">
        <v>6.0003480629999997</v>
      </c>
      <c r="J303">
        <v>1.474368195</v>
      </c>
    </row>
    <row r="304" spans="1:10" x14ac:dyDescent="0.25">
      <c r="A304" t="s">
        <v>19</v>
      </c>
      <c r="B304" s="1">
        <v>44104</v>
      </c>
      <c r="C304">
        <v>11268644278</v>
      </c>
      <c r="D304">
        <v>1309520126</v>
      </c>
      <c r="E304">
        <v>44147215219</v>
      </c>
      <c r="F304">
        <v>66843792777</v>
      </c>
      <c r="G304">
        <v>22696577557</v>
      </c>
      <c r="H304">
        <v>1.9590751390000001</v>
      </c>
      <c r="I304">
        <v>5.7696810149999997</v>
      </c>
      <c r="J304">
        <v>1.945104503</v>
      </c>
    </row>
    <row r="305" spans="1:10" x14ac:dyDescent="0.25">
      <c r="A305" t="s">
        <v>19</v>
      </c>
      <c r="B305" s="1">
        <v>44196</v>
      </c>
      <c r="C305">
        <v>16454038855</v>
      </c>
      <c r="D305">
        <v>1761523797</v>
      </c>
      <c r="E305">
        <v>29090502114</v>
      </c>
      <c r="F305">
        <v>64555499757</v>
      </c>
      <c r="G305">
        <v>35464997643</v>
      </c>
      <c r="H305">
        <v>2.7286967080000002</v>
      </c>
      <c r="I305">
        <v>4.9669361729999997</v>
      </c>
      <c r="J305">
        <v>0.82025952499999999</v>
      </c>
    </row>
    <row r="306" spans="1:10" x14ac:dyDescent="0.25">
      <c r="A306" t="s">
        <v>19</v>
      </c>
      <c r="B306" s="1">
        <v>44286</v>
      </c>
      <c r="C306">
        <v>8720665039</v>
      </c>
      <c r="D306">
        <v>1028066418</v>
      </c>
      <c r="E306">
        <v>14173153454</v>
      </c>
      <c r="F306">
        <v>61397948008</v>
      </c>
      <c r="G306">
        <v>47224794554</v>
      </c>
      <c r="H306">
        <v>1.674431233</v>
      </c>
      <c r="I306">
        <v>2.1769632410000002</v>
      </c>
      <c r="J306">
        <v>0.30012101899999999</v>
      </c>
    </row>
    <row r="307" spans="1:10" x14ac:dyDescent="0.25">
      <c r="A307" t="s">
        <v>19</v>
      </c>
      <c r="B307" s="1">
        <v>44377</v>
      </c>
      <c r="C307">
        <v>5220250485</v>
      </c>
      <c r="D307">
        <v>460458002.10000002</v>
      </c>
      <c r="E307">
        <v>44926554184</v>
      </c>
      <c r="F307">
        <v>91889065168</v>
      </c>
      <c r="G307">
        <v>46962510984</v>
      </c>
      <c r="H307">
        <v>0.50110206400000001</v>
      </c>
      <c r="I307">
        <v>0.98047994500000002</v>
      </c>
      <c r="J307">
        <v>0.95664718999999998</v>
      </c>
    </row>
    <row r="308" spans="1:10" x14ac:dyDescent="0.25">
      <c r="A308" t="s">
        <v>19</v>
      </c>
      <c r="B308" s="1">
        <v>44469</v>
      </c>
      <c r="C308">
        <v>12533912164</v>
      </c>
      <c r="D308">
        <v>782840180.29999995</v>
      </c>
      <c r="E308">
        <v>42843256371</v>
      </c>
      <c r="F308">
        <v>86694386780</v>
      </c>
      <c r="G308">
        <v>43851130409</v>
      </c>
      <c r="H308">
        <v>0.90298831300000004</v>
      </c>
      <c r="I308">
        <v>1.7852223490000001</v>
      </c>
      <c r="J308">
        <v>0.97701600799999999</v>
      </c>
    </row>
    <row r="309" spans="1:10" x14ac:dyDescent="0.25">
      <c r="A309" t="s">
        <v>19</v>
      </c>
      <c r="B309" s="1">
        <v>44561</v>
      </c>
      <c r="C309">
        <v>10414516344</v>
      </c>
      <c r="D309">
        <v>1120888368</v>
      </c>
      <c r="E309">
        <v>33962234582</v>
      </c>
      <c r="F309">
        <v>80244374780</v>
      </c>
      <c r="G309">
        <v>46282140198</v>
      </c>
      <c r="H309">
        <v>1.396843544</v>
      </c>
      <c r="I309">
        <v>2.4218594119999999</v>
      </c>
      <c r="J309">
        <v>0.73380864499999998</v>
      </c>
    </row>
    <row r="310" spans="1:10" x14ac:dyDescent="0.25">
      <c r="A310" t="s">
        <v>19</v>
      </c>
      <c r="B310" s="1">
        <v>44651</v>
      </c>
      <c r="C310">
        <v>15495522952</v>
      </c>
      <c r="D310">
        <v>1232326295</v>
      </c>
      <c r="E310">
        <v>38566723026</v>
      </c>
      <c r="F310">
        <v>72355738353</v>
      </c>
      <c r="G310">
        <v>33789015327</v>
      </c>
      <c r="H310">
        <v>1.7031493609999999</v>
      </c>
      <c r="I310">
        <v>3.6471210639999998</v>
      </c>
      <c r="J310">
        <v>1.1413982519999999</v>
      </c>
    </row>
    <row r="311" spans="1:10" x14ac:dyDescent="0.25">
      <c r="A311" t="s">
        <v>19</v>
      </c>
      <c r="B311" s="1">
        <v>44742</v>
      </c>
      <c r="C311">
        <v>13527313706</v>
      </c>
      <c r="D311">
        <v>1369609294</v>
      </c>
      <c r="E311">
        <v>47047722396</v>
      </c>
      <c r="F311">
        <v>76309903159</v>
      </c>
      <c r="G311">
        <v>29262180763</v>
      </c>
      <c r="H311">
        <v>1.794798889</v>
      </c>
      <c r="I311">
        <v>4.6804758160000004</v>
      </c>
      <c r="J311">
        <v>1.607799596</v>
      </c>
    </row>
    <row r="312" spans="1:10" x14ac:dyDescent="0.25">
      <c r="A312" t="s">
        <v>19</v>
      </c>
      <c r="B312" s="1">
        <v>44834</v>
      </c>
      <c r="C312">
        <v>11924228778</v>
      </c>
      <c r="D312">
        <v>1074208571</v>
      </c>
      <c r="E312">
        <v>47986876748</v>
      </c>
      <c r="F312">
        <v>85149075647</v>
      </c>
      <c r="G312">
        <v>37162198900</v>
      </c>
      <c r="H312">
        <v>1.2615622230000001</v>
      </c>
      <c r="I312">
        <v>2.8905947520000002</v>
      </c>
      <c r="J312">
        <v>1.2912819520000001</v>
      </c>
    </row>
    <row r="313" spans="1:10" x14ac:dyDescent="0.25">
      <c r="A313" t="s">
        <v>19</v>
      </c>
      <c r="B313" s="1">
        <v>44926</v>
      </c>
      <c r="C313">
        <v>7252204354</v>
      </c>
      <c r="D313">
        <v>949551701.20000005</v>
      </c>
      <c r="E313">
        <v>44858188981</v>
      </c>
      <c r="F313">
        <v>86269206025</v>
      </c>
      <c r="G313">
        <v>41411017045</v>
      </c>
      <c r="H313">
        <v>1.1006844099999999</v>
      </c>
      <c r="I313">
        <v>2.2929929499999999</v>
      </c>
      <c r="J313">
        <v>1.0832428709999999</v>
      </c>
    </row>
    <row r="314" spans="1:10" x14ac:dyDescent="0.25">
      <c r="A314" t="s">
        <v>19</v>
      </c>
      <c r="B314" s="1">
        <v>45016</v>
      </c>
      <c r="C314">
        <v>7317098693</v>
      </c>
      <c r="D314">
        <v>887813882.29999995</v>
      </c>
      <c r="E314">
        <v>23138553563</v>
      </c>
      <c r="F314">
        <v>72645962598</v>
      </c>
      <c r="G314">
        <v>49507409035</v>
      </c>
      <c r="H314">
        <v>1.2221104249999999</v>
      </c>
      <c r="I314">
        <v>1.793294983</v>
      </c>
      <c r="J314">
        <v>0.46737557099999999</v>
      </c>
    </row>
    <row r="315" spans="1:10" x14ac:dyDescent="0.25">
      <c r="A315" t="s">
        <v>19</v>
      </c>
      <c r="B315" s="1">
        <v>45107</v>
      </c>
      <c r="C315">
        <v>7129233268</v>
      </c>
      <c r="D315">
        <v>804182359.39999998</v>
      </c>
      <c r="E315">
        <v>37136074738</v>
      </c>
      <c r="F315">
        <v>74971932150</v>
      </c>
      <c r="G315">
        <v>37835857412</v>
      </c>
      <c r="H315">
        <v>1.07264457</v>
      </c>
      <c r="I315">
        <v>2.1254503379999998</v>
      </c>
      <c r="J315">
        <v>0.98150477599999997</v>
      </c>
    </row>
    <row r="316" spans="1:10" x14ac:dyDescent="0.25">
      <c r="A316" t="s">
        <v>19</v>
      </c>
      <c r="B316" s="1">
        <v>45199</v>
      </c>
      <c r="C316">
        <v>17914537947</v>
      </c>
      <c r="D316">
        <v>1449472284</v>
      </c>
      <c r="E316">
        <v>20633879462</v>
      </c>
      <c r="F316">
        <v>43019367872</v>
      </c>
      <c r="G316">
        <v>22385488410</v>
      </c>
      <c r="H316">
        <v>3.3693481689999998</v>
      </c>
      <c r="I316">
        <v>6.4750532009999997</v>
      </c>
      <c r="J316">
        <v>0.92175247999999999</v>
      </c>
    </row>
    <row r="317" spans="1:10" x14ac:dyDescent="0.25">
      <c r="A317" t="s">
        <v>19</v>
      </c>
      <c r="B317" s="1">
        <v>45291</v>
      </c>
      <c r="C317">
        <v>12421650351</v>
      </c>
      <c r="D317">
        <v>967097057.5</v>
      </c>
      <c r="E317">
        <v>33786415736</v>
      </c>
      <c r="F317">
        <v>79888234351</v>
      </c>
      <c r="G317">
        <v>46101818615</v>
      </c>
      <c r="H317">
        <v>1.2105625630000001</v>
      </c>
      <c r="I317">
        <v>2.097741665</v>
      </c>
      <c r="J317">
        <v>0.73286514000000003</v>
      </c>
    </row>
    <row r="318" spans="1:10" x14ac:dyDescent="0.25">
      <c r="A318" t="s">
        <v>19</v>
      </c>
      <c r="B318" s="1">
        <v>45382</v>
      </c>
      <c r="C318">
        <v>19417487313</v>
      </c>
      <c r="D318">
        <v>2333015849</v>
      </c>
      <c r="E318">
        <v>28301209342</v>
      </c>
      <c r="F318">
        <v>55585382174</v>
      </c>
      <c r="G318">
        <v>27284172832</v>
      </c>
      <c r="H318">
        <v>4.1971751529999999</v>
      </c>
      <c r="I318">
        <v>8.5508029269999994</v>
      </c>
      <c r="J318">
        <v>1.0372756949999999</v>
      </c>
    </row>
    <row r="319" spans="1:10" x14ac:dyDescent="0.25">
      <c r="A319" t="s">
        <v>19</v>
      </c>
      <c r="B319" s="1">
        <v>45473</v>
      </c>
      <c r="C319">
        <v>9306050327</v>
      </c>
      <c r="D319">
        <v>729847876.89999998</v>
      </c>
      <c r="E319">
        <v>23854663266</v>
      </c>
      <c r="F319">
        <v>48476616703</v>
      </c>
      <c r="G319">
        <v>24621953437</v>
      </c>
      <c r="H319">
        <v>1.505566862</v>
      </c>
      <c r="I319">
        <v>2.964215974</v>
      </c>
      <c r="J319">
        <v>0.96883715299999995</v>
      </c>
    </row>
    <row r="320" spans="1:10" x14ac:dyDescent="0.25">
      <c r="A320" t="s">
        <v>19</v>
      </c>
      <c r="B320" s="1">
        <v>45565</v>
      </c>
      <c r="C320">
        <v>18549946525</v>
      </c>
      <c r="D320">
        <v>2323022170</v>
      </c>
      <c r="E320">
        <v>49199711543</v>
      </c>
      <c r="F320">
        <v>64461554635</v>
      </c>
      <c r="G320">
        <v>15261843092</v>
      </c>
      <c r="H320">
        <v>3.6037327729999999</v>
      </c>
      <c r="I320">
        <v>15.221111609999999</v>
      </c>
      <c r="J320">
        <v>3.223707074</v>
      </c>
    </row>
    <row r="321" spans="1:10" x14ac:dyDescent="0.25">
      <c r="A321" t="s">
        <v>19</v>
      </c>
      <c r="B321" s="1">
        <v>45657</v>
      </c>
      <c r="C321">
        <v>19852203756</v>
      </c>
      <c r="D321">
        <v>2223753463</v>
      </c>
      <c r="E321">
        <v>36451064643</v>
      </c>
      <c r="F321">
        <v>76222443508</v>
      </c>
      <c r="G321">
        <v>39771378864</v>
      </c>
      <c r="H321">
        <v>2.9174523419999998</v>
      </c>
      <c r="I321">
        <v>5.5913411259999997</v>
      </c>
      <c r="J321">
        <v>0.91651498300000001</v>
      </c>
    </row>
    <row r="322" spans="1:10" x14ac:dyDescent="0.25">
      <c r="A322" t="s">
        <v>20</v>
      </c>
      <c r="B322" s="1">
        <v>42825</v>
      </c>
      <c r="C322">
        <v>5883512064</v>
      </c>
      <c r="D322">
        <v>440184439.5</v>
      </c>
      <c r="E322">
        <v>47041623953</v>
      </c>
      <c r="F322">
        <v>76926443805</v>
      </c>
      <c r="G322">
        <v>29884819852</v>
      </c>
      <c r="H322">
        <v>0.57221472600000001</v>
      </c>
      <c r="I322">
        <v>1.4729365670000001</v>
      </c>
      <c r="J322">
        <v>1.5740976250000001</v>
      </c>
    </row>
    <row r="323" spans="1:10" x14ac:dyDescent="0.25">
      <c r="A323" t="s">
        <v>20</v>
      </c>
      <c r="B323" s="1">
        <v>42916</v>
      </c>
      <c r="C323">
        <v>11523447744</v>
      </c>
      <c r="D323">
        <v>1069672005</v>
      </c>
      <c r="E323">
        <v>31531931981</v>
      </c>
      <c r="F323">
        <v>51328720570</v>
      </c>
      <c r="G323">
        <v>19796788588</v>
      </c>
      <c r="H323">
        <v>2.0839638960000002</v>
      </c>
      <c r="I323">
        <v>5.403260231</v>
      </c>
      <c r="J323">
        <v>1.5927801539999999</v>
      </c>
    </row>
    <row r="324" spans="1:10" x14ac:dyDescent="0.25">
      <c r="A324" t="s">
        <v>20</v>
      </c>
      <c r="B324" s="1">
        <v>43008</v>
      </c>
      <c r="C324">
        <v>9631040999</v>
      </c>
      <c r="D324">
        <v>1113020766</v>
      </c>
      <c r="E324">
        <v>22993549681</v>
      </c>
      <c r="F324">
        <v>72046513305</v>
      </c>
      <c r="G324">
        <v>49052963625</v>
      </c>
      <c r="H324">
        <v>1.544864164</v>
      </c>
      <c r="I324">
        <v>2.2690183899999998</v>
      </c>
      <c r="J324">
        <v>0.46874944899999998</v>
      </c>
    </row>
    <row r="325" spans="1:10" x14ac:dyDescent="0.25">
      <c r="A325" t="s">
        <v>20</v>
      </c>
      <c r="B325" s="1">
        <v>43100</v>
      </c>
      <c r="C325">
        <v>12119018742</v>
      </c>
      <c r="D325">
        <v>894091080.29999995</v>
      </c>
      <c r="E325">
        <v>28361763209</v>
      </c>
      <c r="F325">
        <v>73909302825</v>
      </c>
      <c r="G325">
        <v>45547539617</v>
      </c>
      <c r="H325">
        <v>1.2097138599999999</v>
      </c>
      <c r="I325">
        <v>1.9629843629999999</v>
      </c>
      <c r="J325">
        <v>0.62268485699999998</v>
      </c>
    </row>
    <row r="326" spans="1:10" x14ac:dyDescent="0.25">
      <c r="A326" t="s">
        <v>20</v>
      </c>
      <c r="B326" s="1">
        <v>43190</v>
      </c>
      <c r="C326">
        <v>17555661518</v>
      </c>
      <c r="D326">
        <v>1335299860</v>
      </c>
      <c r="E326">
        <v>46994742351</v>
      </c>
      <c r="F326">
        <v>88007178782</v>
      </c>
      <c r="G326">
        <v>41012436432</v>
      </c>
      <c r="H326">
        <v>1.517262431</v>
      </c>
      <c r="I326">
        <v>3.255841341</v>
      </c>
      <c r="J326">
        <v>1.1458656549999999</v>
      </c>
    </row>
    <row r="327" spans="1:10" x14ac:dyDescent="0.25">
      <c r="A327" t="s">
        <v>20</v>
      </c>
      <c r="B327" s="1">
        <v>43281</v>
      </c>
      <c r="C327">
        <v>9586227654</v>
      </c>
      <c r="D327">
        <v>1382170553</v>
      </c>
      <c r="E327">
        <v>40862854527</v>
      </c>
      <c r="F327">
        <v>89907869527</v>
      </c>
      <c r="G327">
        <v>49045015000</v>
      </c>
      <c r="H327">
        <v>1.5373187690000001</v>
      </c>
      <c r="I327">
        <v>2.8181672560000002</v>
      </c>
      <c r="J327">
        <v>0.83317039500000001</v>
      </c>
    </row>
    <row r="328" spans="1:10" x14ac:dyDescent="0.25">
      <c r="A328" t="s">
        <v>20</v>
      </c>
      <c r="B328" s="1">
        <v>43373</v>
      </c>
      <c r="C328">
        <v>17963578177</v>
      </c>
      <c r="D328">
        <v>2139702451</v>
      </c>
      <c r="E328">
        <v>49106113898</v>
      </c>
      <c r="F328">
        <v>95043652065</v>
      </c>
      <c r="G328">
        <v>45937538167</v>
      </c>
      <c r="H328">
        <v>2.2512839150000001</v>
      </c>
      <c r="I328">
        <v>4.657851806</v>
      </c>
      <c r="J328">
        <v>1.068975741</v>
      </c>
    </row>
    <row r="329" spans="1:10" x14ac:dyDescent="0.25">
      <c r="A329" t="s">
        <v>20</v>
      </c>
      <c r="B329" s="1">
        <v>43465</v>
      </c>
      <c r="C329">
        <v>7955302121</v>
      </c>
      <c r="D329">
        <v>939711762.39999998</v>
      </c>
      <c r="E329">
        <v>35954156213</v>
      </c>
      <c r="F329">
        <v>65117507958</v>
      </c>
      <c r="G329">
        <v>29163351745</v>
      </c>
      <c r="H329">
        <v>1.443101543</v>
      </c>
      <c r="I329">
        <v>3.2222351210000002</v>
      </c>
      <c r="J329">
        <v>1.232854047</v>
      </c>
    </row>
    <row r="330" spans="1:10" x14ac:dyDescent="0.25">
      <c r="A330" t="s">
        <v>20</v>
      </c>
      <c r="B330" s="1">
        <v>43555</v>
      </c>
      <c r="C330">
        <v>12923331618</v>
      </c>
      <c r="D330">
        <v>1676027156</v>
      </c>
      <c r="E330">
        <v>26939537534</v>
      </c>
      <c r="F330">
        <v>57056948432</v>
      </c>
      <c r="G330">
        <v>30117410898</v>
      </c>
      <c r="H330">
        <v>2.9374637140000002</v>
      </c>
      <c r="I330">
        <v>5.5649775540000004</v>
      </c>
      <c r="J330">
        <v>0.89448384599999997</v>
      </c>
    </row>
    <row r="331" spans="1:10" x14ac:dyDescent="0.25">
      <c r="A331" t="s">
        <v>20</v>
      </c>
      <c r="B331" s="1">
        <v>43646</v>
      </c>
      <c r="C331">
        <v>16367236342</v>
      </c>
      <c r="D331">
        <v>1857704381</v>
      </c>
      <c r="E331">
        <v>11368621660</v>
      </c>
      <c r="F331">
        <v>21773242219</v>
      </c>
      <c r="G331">
        <v>10404620558</v>
      </c>
      <c r="H331">
        <v>8.5320521490000001</v>
      </c>
      <c r="I331">
        <v>17.854609589999999</v>
      </c>
      <c r="J331">
        <v>1.0926512500000001</v>
      </c>
    </row>
    <row r="332" spans="1:10" x14ac:dyDescent="0.25">
      <c r="A332" t="s">
        <v>20</v>
      </c>
      <c r="B332" s="1">
        <v>43738</v>
      </c>
      <c r="C332">
        <v>10956259576</v>
      </c>
      <c r="D332">
        <v>738896491.20000005</v>
      </c>
      <c r="E332">
        <v>30918840712</v>
      </c>
      <c r="F332">
        <v>77968242093</v>
      </c>
      <c r="G332">
        <v>47049401381</v>
      </c>
      <c r="H332">
        <v>0.94768904799999998</v>
      </c>
      <c r="I332">
        <v>1.570469484</v>
      </c>
      <c r="J332">
        <v>0.65715694199999997</v>
      </c>
    </row>
    <row r="333" spans="1:10" x14ac:dyDescent="0.25">
      <c r="A333" t="s">
        <v>20</v>
      </c>
      <c r="B333" s="1">
        <v>43830</v>
      </c>
      <c r="C333">
        <v>15806884536</v>
      </c>
      <c r="D333">
        <v>845076735.89999998</v>
      </c>
      <c r="E333">
        <v>34376508276</v>
      </c>
      <c r="F333">
        <v>55201546863</v>
      </c>
      <c r="G333">
        <v>20825038587</v>
      </c>
      <c r="H333">
        <v>1.5308932159999999</v>
      </c>
      <c r="I333">
        <v>4.0579840100000002</v>
      </c>
      <c r="J333">
        <v>1.650729632</v>
      </c>
    </row>
    <row r="334" spans="1:10" x14ac:dyDescent="0.25">
      <c r="A334" t="s">
        <v>20</v>
      </c>
      <c r="B334" s="1">
        <v>43921</v>
      </c>
      <c r="C334">
        <v>10779438774</v>
      </c>
      <c r="D334">
        <v>1358943185</v>
      </c>
      <c r="E334">
        <v>33525281805</v>
      </c>
      <c r="F334">
        <v>71745524050</v>
      </c>
      <c r="G334">
        <v>38220242245</v>
      </c>
      <c r="H334">
        <v>1.8941156299999999</v>
      </c>
      <c r="I334">
        <v>3.5555587960000001</v>
      </c>
      <c r="J334">
        <v>0.87716036900000005</v>
      </c>
    </row>
    <row r="335" spans="1:10" x14ac:dyDescent="0.25">
      <c r="A335" t="s">
        <v>20</v>
      </c>
      <c r="B335" s="1">
        <v>44012</v>
      </c>
      <c r="C335">
        <v>7764718758</v>
      </c>
      <c r="D335">
        <v>920211365.79999995</v>
      </c>
      <c r="E335">
        <v>34970670581</v>
      </c>
      <c r="F335">
        <v>72558969348</v>
      </c>
      <c r="G335">
        <v>37588298767</v>
      </c>
      <c r="H335">
        <v>1.268225519</v>
      </c>
      <c r="I335">
        <v>2.4481325200000001</v>
      </c>
      <c r="J335">
        <v>0.93036055699999998</v>
      </c>
    </row>
    <row r="336" spans="1:10" x14ac:dyDescent="0.25">
      <c r="A336" t="s">
        <v>20</v>
      </c>
      <c r="B336" s="1">
        <v>44104</v>
      </c>
      <c r="C336">
        <v>6912391322</v>
      </c>
      <c r="D336">
        <v>945409918.5</v>
      </c>
      <c r="E336">
        <v>38735572223</v>
      </c>
      <c r="F336">
        <v>68605740345</v>
      </c>
      <c r="G336">
        <v>29870168123</v>
      </c>
      <c r="H336">
        <v>1.378033257</v>
      </c>
      <c r="I336">
        <v>3.1650639350000001</v>
      </c>
      <c r="J336">
        <v>1.296797931</v>
      </c>
    </row>
    <row r="337" spans="1:10" x14ac:dyDescent="0.25">
      <c r="A337" t="s">
        <v>20</v>
      </c>
      <c r="B337" s="1">
        <v>44196</v>
      </c>
      <c r="C337">
        <v>14994514428</v>
      </c>
      <c r="D337">
        <v>1118453310</v>
      </c>
      <c r="E337">
        <v>13089516203</v>
      </c>
      <c r="F337">
        <v>26894911034</v>
      </c>
      <c r="G337">
        <v>13805394830</v>
      </c>
      <c r="H337">
        <v>4.158605723</v>
      </c>
      <c r="I337">
        <v>8.1015669829999997</v>
      </c>
      <c r="J337">
        <v>0.94814500899999998</v>
      </c>
    </row>
    <row r="338" spans="1:10" x14ac:dyDescent="0.25">
      <c r="A338" t="s">
        <v>20</v>
      </c>
      <c r="B338" s="1">
        <v>44286</v>
      </c>
      <c r="C338">
        <v>7884337935</v>
      </c>
      <c r="D338">
        <v>1152213820</v>
      </c>
      <c r="E338">
        <v>19342832660</v>
      </c>
      <c r="F338">
        <v>61176556532</v>
      </c>
      <c r="G338">
        <v>41833723872</v>
      </c>
      <c r="H338">
        <v>1.883423791</v>
      </c>
      <c r="I338">
        <v>2.7542702719999999</v>
      </c>
      <c r="J338">
        <v>0.46237415300000001</v>
      </c>
    </row>
    <row r="339" spans="1:10" x14ac:dyDescent="0.25">
      <c r="A339" t="s">
        <v>20</v>
      </c>
      <c r="B339" s="1">
        <v>44377</v>
      </c>
      <c r="C339">
        <v>12452147525</v>
      </c>
      <c r="D339">
        <v>908357933.29999995</v>
      </c>
      <c r="E339">
        <v>42131566815</v>
      </c>
      <c r="F339">
        <v>76799130880</v>
      </c>
      <c r="G339">
        <v>34667564065</v>
      </c>
      <c r="H339">
        <v>1.1827711110000001</v>
      </c>
      <c r="I339">
        <v>2.620195442</v>
      </c>
      <c r="J339">
        <v>1.2153021980000001</v>
      </c>
    </row>
    <row r="340" spans="1:10" x14ac:dyDescent="0.25">
      <c r="A340" t="s">
        <v>20</v>
      </c>
      <c r="B340" s="1">
        <v>44469</v>
      </c>
      <c r="C340">
        <v>7245971264</v>
      </c>
      <c r="D340">
        <v>1033867668</v>
      </c>
      <c r="E340">
        <v>43655777728</v>
      </c>
      <c r="F340">
        <v>59462856760</v>
      </c>
      <c r="G340">
        <v>15807079033</v>
      </c>
      <c r="H340">
        <v>1.7386781</v>
      </c>
      <c r="I340">
        <v>6.5405358309999997</v>
      </c>
      <c r="J340">
        <v>2.7617865159999999</v>
      </c>
    </row>
    <row r="341" spans="1:10" x14ac:dyDescent="0.25">
      <c r="A341" t="s">
        <v>20</v>
      </c>
      <c r="B341" s="1">
        <v>44561</v>
      </c>
      <c r="C341">
        <v>14047287806</v>
      </c>
      <c r="D341">
        <v>1489899027</v>
      </c>
      <c r="E341">
        <v>14851641486</v>
      </c>
      <c r="F341">
        <v>42561319258</v>
      </c>
      <c r="G341">
        <v>27709677772</v>
      </c>
      <c r="H341">
        <v>3.500594092</v>
      </c>
      <c r="I341">
        <v>5.3768183069999997</v>
      </c>
      <c r="J341">
        <v>0.53597308499999996</v>
      </c>
    </row>
    <row r="342" spans="1:10" x14ac:dyDescent="0.25">
      <c r="A342" t="s">
        <v>20</v>
      </c>
      <c r="B342" s="1">
        <v>44651</v>
      </c>
      <c r="C342">
        <v>10774855240</v>
      </c>
      <c r="D342">
        <v>975556879.20000005</v>
      </c>
      <c r="E342">
        <v>15417730087</v>
      </c>
      <c r="F342">
        <v>40879706571</v>
      </c>
      <c r="G342">
        <v>25461976485</v>
      </c>
      <c r="H342">
        <v>2.3864087120000002</v>
      </c>
      <c r="I342">
        <v>3.8314263620000002</v>
      </c>
      <c r="J342">
        <v>0.60551976799999996</v>
      </c>
    </row>
    <row r="343" spans="1:10" x14ac:dyDescent="0.25">
      <c r="A343" t="s">
        <v>20</v>
      </c>
      <c r="B343" s="1">
        <v>44742</v>
      </c>
      <c r="C343">
        <v>9602996001</v>
      </c>
      <c r="D343">
        <v>1224040111</v>
      </c>
      <c r="E343">
        <v>42066934650</v>
      </c>
      <c r="F343">
        <v>86789124292</v>
      </c>
      <c r="G343">
        <v>44722189642</v>
      </c>
      <c r="H343">
        <v>1.410361172</v>
      </c>
      <c r="I343">
        <v>2.736986092</v>
      </c>
      <c r="J343">
        <v>0.94062779500000004</v>
      </c>
    </row>
    <row r="344" spans="1:10" x14ac:dyDescent="0.25">
      <c r="A344" t="s">
        <v>20</v>
      </c>
      <c r="B344" s="1">
        <v>44834</v>
      </c>
      <c r="C344">
        <v>8621455856</v>
      </c>
      <c r="D344">
        <v>1229669587</v>
      </c>
      <c r="E344">
        <v>32376788972</v>
      </c>
      <c r="F344">
        <v>47679877246</v>
      </c>
      <c r="G344">
        <v>15303088274</v>
      </c>
      <c r="H344">
        <v>2.5790116470000002</v>
      </c>
      <c r="I344">
        <v>8.0354341900000001</v>
      </c>
      <c r="J344">
        <v>2.115702948</v>
      </c>
    </row>
    <row r="345" spans="1:10" x14ac:dyDescent="0.25">
      <c r="A345" t="s">
        <v>20</v>
      </c>
      <c r="B345" s="1">
        <v>44926</v>
      </c>
      <c r="C345">
        <v>5536870879</v>
      </c>
      <c r="D345">
        <v>298030924.10000002</v>
      </c>
      <c r="E345">
        <v>19445445005</v>
      </c>
      <c r="F345">
        <v>30265348449</v>
      </c>
      <c r="G345">
        <v>10819903444</v>
      </c>
      <c r="H345">
        <v>0.98472655799999997</v>
      </c>
      <c r="I345">
        <v>2.7544693499999999</v>
      </c>
      <c r="J345">
        <v>1.797192101</v>
      </c>
    </row>
    <row r="346" spans="1:10" x14ac:dyDescent="0.25">
      <c r="A346" t="s">
        <v>20</v>
      </c>
      <c r="B346" s="1">
        <v>45016</v>
      </c>
      <c r="C346">
        <v>8880891013</v>
      </c>
      <c r="D346">
        <v>668545569.70000005</v>
      </c>
      <c r="E346">
        <v>40027402595</v>
      </c>
      <c r="F346">
        <v>66992846031</v>
      </c>
      <c r="G346">
        <v>26965443436</v>
      </c>
      <c r="H346">
        <v>0.99793576399999995</v>
      </c>
      <c r="I346">
        <v>2.4792678499999998</v>
      </c>
      <c r="J346">
        <v>1.4843962310000001</v>
      </c>
    </row>
    <row r="347" spans="1:10" x14ac:dyDescent="0.25">
      <c r="A347" t="s">
        <v>20</v>
      </c>
      <c r="B347" s="1">
        <v>45107</v>
      </c>
      <c r="C347">
        <v>16477351074</v>
      </c>
      <c r="D347">
        <v>1226392611</v>
      </c>
      <c r="E347">
        <v>42857529033</v>
      </c>
      <c r="F347">
        <v>61495517042</v>
      </c>
      <c r="G347">
        <v>18637988008</v>
      </c>
      <c r="H347">
        <v>1.9942796979999999</v>
      </c>
      <c r="I347">
        <v>6.5800697530000001</v>
      </c>
      <c r="J347">
        <v>2.299471864</v>
      </c>
    </row>
    <row r="348" spans="1:10" x14ac:dyDescent="0.25">
      <c r="A348" t="s">
        <v>20</v>
      </c>
      <c r="B348" s="1">
        <v>45199</v>
      </c>
      <c r="C348">
        <v>12920254885</v>
      </c>
      <c r="D348">
        <v>1147104411</v>
      </c>
      <c r="E348">
        <v>35348848744</v>
      </c>
      <c r="F348">
        <v>85266963912</v>
      </c>
      <c r="G348">
        <v>49918115168</v>
      </c>
      <c r="H348">
        <v>1.345309318</v>
      </c>
      <c r="I348">
        <v>2.297972203</v>
      </c>
      <c r="J348">
        <v>0.70813668799999996</v>
      </c>
    </row>
    <row r="349" spans="1:10" x14ac:dyDescent="0.25">
      <c r="A349" t="s">
        <v>20</v>
      </c>
      <c r="B349" s="1">
        <v>45291</v>
      </c>
      <c r="C349">
        <v>16438581863</v>
      </c>
      <c r="D349">
        <v>1419961878</v>
      </c>
      <c r="E349">
        <v>19415830018</v>
      </c>
      <c r="F349">
        <v>36726316966</v>
      </c>
      <c r="G349">
        <v>17310486949</v>
      </c>
      <c r="H349">
        <v>3.8663334499999999</v>
      </c>
      <c r="I349">
        <v>8.2028996759999995</v>
      </c>
      <c r="J349">
        <v>1.121622406</v>
      </c>
    </row>
    <row r="350" spans="1:10" x14ac:dyDescent="0.25">
      <c r="A350" t="s">
        <v>20</v>
      </c>
      <c r="B350" s="1">
        <v>45382</v>
      </c>
      <c r="C350">
        <v>12668426079</v>
      </c>
      <c r="D350">
        <v>744579528.29999995</v>
      </c>
      <c r="E350">
        <v>33183980227</v>
      </c>
      <c r="F350">
        <v>53340703796</v>
      </c>
      <c r="G350">
        <v>20156723569</v>
      </c>
      <c r="H350">
        <v>1.395893708</v>
      </c>
      <c r="I350">
        <v>3.6939511810000001</v>
      </c>
      <c r="J350">
        <v>1.646298324</v>
      </c>
    </row>
    <row r="351" spans="1:10" x14ac:dyDescent="0.25">
      <c r="A351" t="s">
        <v>20</v>
      </c>
      <c r="B351" s="1">
        <v>45473</v>
      </c>
      <c r="C351">
        <v>16413767338</v>
      </c>
      <c r="D351">
        <v>1074145603</v>
      </c>
      <c r="E351">
        <v>25161220888</v>
      </c>
      <c r="F351">
        <v>52217608876</v>
      </c>
      <c r="G351">
        <v>27056387988</v>
      </c>
      <c r="H351">
        <v>2.057056282</v>
      </c>
      <c r="I351">
        <v>3.970025873</v>
      </c>
      <c r="J351">
        <v>0.92995491100000005</v>
      </c>
    </row>
    <row r="352" spans="1:10" x14ac:dyDescent="0.25">
      <c r="A352" t="s">
        <v>20</v>
      </c>
      <c r="B352" s="1">
        <v>45565</v>
      </c>
      <c r="C352">
        <v>15911174550</v>
      </c>
      <c r="D352">
        <v>1241693861</v>
      </c>
      <c r="E352">
        <v>36125130235</v>
      </c>
      <c r="F352">
        <v>84583217359</v>
      </c>
      <c r="G352">
        <v>48458087124</v>
      </c>
      <c r="H352">
        <v>1.4680144589999999</v>
      </c>
      <c r="I352">
        <v>2.5624079169999998</v>
      </c>
      <c r="J352">
        <v>0.745492288</v>
      </c>
    </row>
    <row r="353" spans="1:10" x14ac:dyDescent="0.25">
      <c r="A353" t="s">
        <v>20</v>
      </c>
      <c r="B353" s="1">
        <v>45657</v>
      </c>
      <c r="C353">
        <v>13056746207</v>
      </c>
      <c r="D353">
        <v>1500333956</v>
      </c>
      <c r="E353">
        <v>33698449632</v>
      </c>
      <c r="F353">
        <v>62560115073</v>
      </c>
      <c r="G353">
        <v>28861665442</v>
      </c>
      <c r="H353">
        <v>2.3982276150000001</v>
      </c>
      <c r="I353">
        <v>5.1983623699999999</v>
      </c>
      <c r="J353">
        <v>1.167585069</v>
      </c>
    </row>
    <row r="354" spans="1:10" x14ac:dyDescent="0.25">
      <c r="A354" t="s">
        <v>21</v>
      </c>
      <c r="B354" s="1">
        <v>42825</v>
      </c>
      <c r="C354">
        <v>6974057939</v>
      </c>
      <c r="D354">
        <v>389688114</v>
      </c>
      <c r="E354">
        <v>31405828053</v>
      </c>
      <c r="F354">
        <v>49969368014</v>
      </c>
      <c r="G354">
        <v>18563539961</v>
      </c>
      <c r="H354">
        <v>0.77985399700000002</v>
      </c>
      <c r="I354">
        <v>2.0992122989999999</v>
      </c>
      <c r="J354">
        <v>1.691801678</v>
      </c>
    </row>
    <row r="355" spans="1:10" x14ac:dyDescent="0.25">
      <c r="A355" t="s">
        <v>21</v>
      </c>
      <c r="B355" s="1">
        <v>42916</v>
      </c>
      <c r="C355">
        <v>11003803134</v>
      </c>
      <c r="D355">
        <v>1050945998</v>
      </c>
      <c r="E355">
        <v>30579291828</v>
      </c>
      <c r="F355">
        <v>50859030282</v>
      </c>
      <c r="G355">
        <v>20279738454</v>
      </c>
      <c r="H355">
        <v>2.0663901619999998</v>
      </c>
      <c r="I355">
        <v>5.1822463120000002</v>
      </c>
      <c r="J355">
        <v>1.507874073</v>
      </c>
    </row>
    <row r="356" spans="1:10" x14ac:dyDescent="0.25">
      <c r="A356" t="s">
        <v>21</v>
      </c>
      <c r="B356" s="1">
        <v>43008</v>
      </c>
      <c r="C356">
        <v>17552142118</v>
      </c>
      <c r="D356">
        <v>1316005049</v>
      </c>
      <c r="E356">
        <v>28846310799</v>
      </c>
      <c r="F356">
        <v>40791728305</v>
      </c>
      <c r="G356">
        <v>11945417506</v>
      </c>
      <c r="H356">
        <v>3.2261566340000001</v>
      </c>
      <c r="I356">
        <v>11.0168192</v>
      </c>
      <c r="J356">
        <v>2.4148432469999999</v>
      </c>
    </row>
    <row r="357" spans="1:10" x14ac:dyDescent="0.25">
      <c r="A357" t="s">
        <v>21</v>
      </c>
      <c r="B357" s="1">
        <v>43100</v>
      </c>
      <c r="C357">
        <v>11760953647</v>
      </c>
      <c r="D357">
        <v>812341476</v>
      </c>
      <c r="E357">
        <v>29296072481</v>
      </c>
      <c r="F357">
        <v>51828662312</v>
      </c>
      <c r="G357">
        <v>22532589831</v>
      </c>
      <c r="H357">
        <v>1.5673595259999999</v>
      </c>
      <c r="I357">
        <v>3.605184677</v>
      </c>
      <c r="J357">
        <v>1.30016446</v>
      </c>
    </row>
    <row r="358" spans="1:10" x14ac:dyDescent="0.25">
      <c r="A358" t="s">
        <v>21</v>
      </c>
      <c r="B358" s="1">
        <v>43190</v>
      </c>
      <c r="C358">
        <v>9318197850</v>
      </c>
      <c r="D358">
        <v>641817429.79999995</v>
      </c>
      <c r="E358">
        <v>48172882387</v>
      </c>
      <c r="F358">
        <v>65628926423</v>
      </c>
      <c r="G358">
        <v>17456044036</v>
      </c>
      <c r="H358">
        <v>0.97794899999999996</v>
      </c>
      <c r="I358">
        <v>3.676763352</v>
      </c>
      <c r="J358">
        <v>2.759667785</v>
      </c>
    </row>
    <row r="359" spans="1:10" x14ac:dyDescent="0.25">
      <c r="A359" t="s">
        <v>21</v>
      </c>
      <c r="B359" s="1">
        <v>43281</v>
      </c>
      <c r="C359">
        <v>7868422908</v>
      </c>
      <c r="D359">
        <v>477697388.19999999</v>
      </c>
      <c r="E359">
        <v>36789908510</v>
      </c>
      <c r="F359">
        <v>81877040048</v>
      </c>
      <c r="G359">
        <v>45087131537</v>
      </c>
      <c r="H359">
        <v>0.58343265499999997</v>
      </c>
      <c r="I359">
        <v>1.0594982909999999</v>
      </c>
      <c r="J359">
        <v>0.81597358799999997</v>
      </c>
    </row>
    <row r="360" spans="1:10" x14ac:dyDescent="0.25">
      <c r="A360" t="s">
        <v>21</v>
      </c>
      <c r="B360" s="1">
        <v>43373</v>
      </c>
      <c r="C360">
        <v>17415152986</v>
      </c>
      <c r="D360">
        <v>1617758811</v>
      </c>
      <c r="E360">
        <v>46995232198</v>
      </c>
      <c r="F360">
        <v>95054854077</v>
      </c>
      <c r="G360">
        <v>48059621879</v>
      </c>
      <c r="H360">
        <v>1.7019213019999999</v>
      </c>
      <c r="I360">
        <v>3.3661496849999999</v>
      </c>
      <c r="J360">
        <v>0.97785272499999998</v>
      </c>
    </row>
    <row r="361" spans="1:10" x14ac:dyDescent="0.25">
      <c r="A361" t="s">
        <v>21</v>
      </c>
      <c r="B361" s="1">
        <v>43465</v>
      </c>
      <c r="C361">
        <v>14241334382</v>
      </c>
      <c r="D361">
        <v>1165009578</v>
      </c>
      <c r="E361">
        <v>37401670447</v>
      </c>
      <c r="F361">
        <v>71252783664</v>
      </c>
      <c r="G361">
        <v>33851113217</v>
      </c>
      <c r="H361">
        <v>1.635037283</v>
      </c>
      <c r="I361">
        <v>3.4415694719999999</v>
      </c>
      <c r="J361">
        <v>1.1048874580000001</v>
      </c>
    </row>
    <row r="362" spans="1:10" x14ac:dyDescent="0.25">
      <c r="A362" t="s">
        <v>21</v>
      </c>
      <c r="B362" s="1">
        <v>43555</v>
      </c>
      <c r="C362">
        <v>19217681417</v>
      </c>
      <c r="D362">
        <v>2238884002</v>
      </c>
      <c r="E362">
        <v>12733925598</v>
      </c>
      <c r="F362">
        <v>36970270841</v>
      </c>
      <c r="G362">
        <v>24236345242</v>
      </c>
      <c r="H362">
        <v>6.0559037069999997</v>
      </c>
      <c r="I362">
        <v>9.2377129470000003</v>
      </c>
      <c r="J362">
        <v>0.52540618100000003</v>
      </c>
    </row>
    <row r="363" spans="1:10" x14ac:dyDescent="0.25">
      <c r="A363" t="s">
        <v>21</v>
      </c>
      <c r="B363" s="1">
        <v>43646</v>
      </c>
      <c r="C363">
        <v>16209619277</v>
      </c>
      <c r="D363">
        <v>1894725317</v>
      </c>
      <c r="E363">
        <v>17305347324</v>
      </c>
      <c r="F363">
        <v>45432894647</v>
      </c>
      <c r="G363">
        <v>28127547323</v>
      </c>
      <c r="H363">
        <v>4.1703821239999996</v>
      </c>
      <c r="I363">
        <v>6.7361910199999997</v>
      </c>
      <c r="J363">
        <v>0.61524551400000005</v>
      </c>
    </row>
    <row r="364" spans="1:10" x14ac:dyDescent="0.25">
      <c r="A364" t="s">
        <v>21</v>
      </c>
      <c r="B364" s="1">
        <v>43738</v>
      </c>
      <c r="C364">
        <v>12097020632</v>
      </c>
      <c r="D364">
        <v>1236164244</v>
      </c>
      <c r="E364">
        <v>27900854055</v>
      </c>
      <c r="F364">
        <v>42173393478</v>
      </c>
      <c r="G364">
        <v>14272539423</v>
      </c>
      <c r="H364">
        <v>2.9311472049999998</v>
      </c>
      <c r="I364">
        <v>8.6611373589999996</v>
      </c>
      <c r="J364">
        <v>1.954862637</v>
      </c>
    </row>
    <row r="365" spans="1:10" x14ac:dyDescent="0.25">
      <c r="A365" t="s">
        <v>21</v>
      </c>
      <c r="B365" s="1">
        <v>43830</v>
      </c>
      <c r="C365">
        <v>17666094987</v>
      </c>
      <c r="D365">
        <v>1547381835</v>
      </c>
      <c r="E365">
        <v>47717175754</v>
      </c>
      <c r="F365">
        <v>76466035769</v>
      </c>
      <c r="G365">
        <v>28748860015</v>
      </c>
      <c r="H365">
        <v>2.0236197929999999</v>
      </c>
      <c r="I365">
        <v>5.3824111090000004</v>
      </c>
      <c r="J365">
        <v>1.6597936659999999</v>
      </c>
    </row>
    <row r="366" spans="1:10" x14ac:dyDescent="0.25">
      <c r="A366" t="s">
        <v>21</v>
      </c>
      <c r="B366" s="1">
        <v>43921</v>
      </c>
      <c r="C366">
        <v>15236467952</v>
      </c>
      <c r="D366">
        <v>894574066</v>
      </c>
      <c r="E366">
        <v>36909348765</v>
      </c>
      <c r="F366">
        <v>72030787429</v>
      </c>
      <c r="G366">
        <v>35121438664</v>
      </c>
      <c r="H366">
        <v>1.241932926</v>
      </c>
      <c r="I366">
        <v>2.5470883309999999</v>
      </c>
      <c r="J366">
        <v>1.050906517</v>
      </c>
    </row>
    <row r="367" spans="1:10" x14ac:dyDescent="0.25">
      <c r="A367" t="s">
        <v>21</v>
      </c>
      <c r="B367" s="1">
        <v>44012</v>
      </c>
      <c r="C367">
        <v>17048403140</v>
      </c>
      <c r="D367">
        <v>1779998241</v>
      </c>
      <c r="E367">
        <v>31894204894</v>
      </c>
      <c r="F367">
        <v>69469086501</v>
      </c>
      <c r="G367">
        <v>37574881608</v>
      </c>
      <c r="H367">
        <v>2.562288251</v>
      </c>
      <c r="I367">
        <v>4.7372025280000001</v>
      </c>
      <c r="J367">
        <v>0.84881717599999995</v>
      </c>
    </row>
    <row r="368" spans="1:10" x14ac:dyDescent="0.25">
      <c r="A368" t="s">
        <v>21</v>
      </c>
      <c r="B368" s="1">
        <v>44104</v>
      </c>
      <c r="C368">
        <v>8081970522</v>
      </c>
      <c r="D368">
        <v>678443942.39999998</v>
      </c>
      <c r="E368">
        <v>46360819152</v>
      </c>
      <c r="F368">
        <v>75700966235</v>
      </c>
      <c r="G368">
        <v>29340147083</v>
      </c>
      <c r="H368">
        <v>0.89621569700000003</v>
      </c>
      <c r="I368">
        <v>2.3123399500000001</v>
      </c>
      <c r="J368">
        <v>1.5801154310000001</v>
      </c>
    </row>
    <row r="369" spans="1:10" x14ac:dyDescent="0.25">
      <c r="A369" t="s">
        <v>21</v>
      </c>
      <c r="B369" s="1">
        <v>44196</v>
      </c>
      <c r="C369">
        <v>5897253747</v>
      </c>
      <c r="D369">
        <v>625948791.20000005</v>
      </c>
      <c r="E369">
        <v>38506883950</v>
      </c>
      <c r="F369">
        <v>51548729961</v>
      </c>
      <c r="G369">
        <v>13041846011</v>
      </c>
      <c r="H369">
        <v>1.214285573</v>
      </c>
      <c r="I369">
        <v>4.7995413429999996</v>
      </c>
      <c r="J369">
        <v>2.9525639180000001</v>
      </c>
    </row>
    <row r="370" spans="1:10" x14ac:dyDescent="0.25">
      <c r="A370" t="s">
        <v>21</v>
      </c>
      <c r="B370" s="1">
        <v>44286</v>
      </c>
      <c r="C370">
        <v>14786170161</v>
      </c>
      <c r="D370">
        <v>1680074258</v>
      </c>
      <c r="E370">
        <v>26820455279</v>
      </c>
      <c r="F370">
        <v>61714717112</v>
      </c>
      <c r="G370">
        <v>34894261833</v>
      </c>
      <c r="H370">
        <v>2.7223235180000001</v>
      </c>
      <c r="I370">
        <v>4.814757986</v>
      </c>
      <c r="J370">
        <v>0.76862079500000002</v>
      </c>
    </row>
    <row r="371" spans="1:10" x14ac:dyDescent="0.25">
      <c r="A371" t="s">
        <v>21</v>
      </c>
      <c r="B371" s="1">
        <v>44377</v>
      </c>
      <c r="C371">
        <v>14025754117</v>
      </c>
      <c r="D371">
        <v>1636333354</v>
      </c>
      <c r="E371">
        <v>16839994355</v>
      </c>
      <c r="F371">
        <v>60072011589</v>
      </c>
      <c r="G371">
        <v>43232017234</v>
      </c>
      <c r="H371">
        <v>2.723952986</v>
      </c>
      <c r="I371">
        <v>3.7850034730000002</v>
      </c>
      <c r="J371">
        <v>0.38952599100000002</v>
      </c>
    </row>
    <row r="372" spans="1:10" x14ac:dyDescent="0.25">
      <c r="A372" t="s">
        <v>21</v>
      </c>
      <c r="B372" s="1">
        <v>44469</v>
      </c>
      <c r="C372">
        <v>14686380695</v>
      </c>
      <c r="D372">
        <v>2175890454</v>
      </c>
      <c r="E372">
        <v>36499903384</v>
      </c>
      <c r="F372">
        <v>85610397087</v>
      </c>
      <c r="G372">
        <v>49110493703</v>
      </c>
      <c r="H372">
        <v>2.5416193919999999</v>
      </c>
      <c r="I372">
        <v>4.4306018729999996</v>
      </c>
      <c r="J372">
        <v>0.74322004600000002</v>
      </c>
    </row>
    <row r="373" spans="1:10" x14ac:dyDescent="0.25">
      <c r="A373" t="s">
        <v>21</v>
      </c>
      <c r="B373" s="1">
        <v>44561</v>
      </c>
      <c r="C373">
        <v>12917187369</v>
      </c>
      <c r="D373">
        <v>1708731611</v>
      </c>
      <c r="E373">
        <v>17319486583</v>
      </c>
      <c r="F373">
        <v>43037893850</v>
      </c>
      <c r="G373">
        <v>25718407267</v>
      </c>
      <c r="H373">
        <v>3.9702956129999998</v>
      </c>
      <c r="I373">
        <v>6.6440024600000003</v>
      </c>
      <c r="J373">
        <v>0.67342765100000002</v>
      </c>
    </row>
    <row r="374" spans="1:10" x14ac:dyDescent="0.25">
      <c r="A374" t="s">
        <v>21</v>
      </c>
      <c r="B374" s="1">
        <v>44651</v>
      </c>
      <c r="C374">
        <v>7570645554</v>
      </c>
      <c r="D374">
        <v>419794972.69999999</v>
      </c>
      <c r="E374">
        <v>36325434183</v>
      </c>
      <c r="F374">
        <v>64924945929</v>
      </c>
      <c r="G374">
        <v>28599511746</v>
      </c>
      <c r="H374">
        <v>0.64658501700000004</v>
      </c>
      <c r="I374">
        <v>1.467839648</v>
      </c>
      <c r="J374">
        <v>1.27014176</v>
      </c>
    </row>
    <row r="375" spans="1:10" x14ac:dyDescent="0.25">
      <c r="A375" t="s">
        <v>21</v>
      </c>
      <c r="B375" s="1">
        <v>44742</v>
      </c>
      <c r="C375">
        <v>19175705351</v>
      </c>
      <c r="D375">
        <v>1921123977</v>
      </c>
      <c r="E375">
        <v>39424400695</v>
      </c>
      <c r="F375">
        <v>70149764250</v>
      </c>
      <c r="G375">
        <v>30725363554</v>
      </c>
      <c r="H375">
        <v>2.7386036109999998</v>
      </c>
      <c r="I375">
        <v>6.2525671129999996</v>
      </c>
      <c r="J375">
        <v>1.28312235</v>
      </c>
    </row>
    <row r="376" spans="1:10" x14ac:dyDescent="0.25">
      <c r="A376" t="s">
        <v>21</v>
      </c>
      <c r="B376" s="1">
        <v>44834</v>
      </c>
      <c r="C376">
        <v>7888146905</v>
      </c>
      <c r="D376">
        <v>698353200.20000005</v>
      </c>
      <c r="E376">
        <v>33355799273</v>
      </c>
      <c r="F376">
        <v>53175544683</v>
      </c>
      <c r="G376">
        <v>19819745411</v>
      </c>
      <c r="H376">
        <v>1.31329769</v>
      </c>
      <c r="I376">
        <v>3.5235225560000001</v>
      </c>
      <c r="J376">
        <v>1.682958009</v>
      </c>
    </row>
    <row r="377" spans="1:10" x14ac:dyDescent="0.25">
      <c r="A377" t="s">
        <v>21</v>
      </c>
      <c r="B377" s="1">
        <v>44926</v>
      </c>
      <c r="C377">
        <v>7610452133</v>
      </c>
      <c r="D377">
        <v>536310750.10000002</v>
      </c>
      <c r="E377">
        <v>48688712492</v>
      </c>
      <c r="F377">
        <v>88688270941</v>
      </c>
      <c r="G377">
        <v>39999558449</v>
      </c>
      <c r="H377">
        <v>0.60471440499999995</v>
      </c>
      <c r="I377">
        <v>1.340791676</v>
      </c>
      <c r="J377">
        <v>1.2172312489999999</v>
      </c>
    </row>
    <row r="378" spans="1:10" x14ac:dyDescent="0.25">
      <c r="A378" t="s">
        <v>21</v>
      </c>
      <c r="B378" s="1">
        <v>45016</v>
      </c>
      <c r="C378">
        <v>18085416710</v>
      </c>
      <c r="D378">
        <v>2126765225</v>
      </c>
      <c r="E378">
        <v>44629946816</v>
      </c>
      <c r="F378">
        <v>61554558843</v>
      </c>
      <c r="G378">
        <v>16924612027</v>
      </c>
      <c r="H378">
        <v>3.4550897040000002</v>
      </c>
      <c r="I378">
        <v>12.56610918</v>
      </c>
      <c r="J378">
        <v>2.6369849269999999</v>
      </c>
    </row>
    <row r="379" spans="1:10" x14ac:dyDescent="0.25">
      <c r="A379" t="s">
        <v>21</v>
      </c>
      <c r="B379" s="1">
        <v>45107</v>
      </c>
      <c r="C379">
        <v>9146296754</v>
      </c>
      <c r="D379">
        <v>868361702.89999998</v>
      </c>
      <c r="E379">
        <v>43413456694</v>
      </c>
      <c r="F379">
        <v>56455610934</v>
      </c>
      <c r="G379">
        <v>13042154240</v>
      </c>
      <c r="H379">
        <v>1.5381317969999999</v>
      </c>
      <c r="I379">
        <v>6.6581155760000001</v>
      </c>
      <c r="J379">
        <v>3.328702904</v>
      </c>
    </row>
    <row r="380" spans="1:10" x14ac:dyDescent="0.25">
      <c r="A380" t="s">
        <v>21</v>
      </c>
      <c r="B380" s="1">
        <v>45199</v>
      </c>
      <c r="C380">
        <v>9297896247</v>
      </c>
      <c r="D380">
        <v>1145109250</v>
      </c>
      <c r="E380">
        <v>49354599469</v>
      </c>
      <c r="F380">
        <v>67631473649</v>
      </c>
      <c r="G380">
        <v>18276874181</v>
      </c>
      <c r="H380">
        <v>1.6931602830000001</v>
      </c>
      <c r="I380">
        <v>6.2653451520000001</v>
      </c>
      <c r="J380">
        <v>2.7003851409999999</v>
      </c>
    </row>
    <row r="381" spans="1:10" x14ac:dyDescent="0.25">
      <c r="A381" t="s">
        <v>21</v>
      </c>
      <c r="B381" s="1">
        <v>45291</v>
      </c>
      <c r="C381">
        <v>17637490503</v>
      </c>
      <c r="D381">
        <v>2103890014</v>
      </c>
      <c r="E381">
        <v>44486109206</v>
      </c>
      <c r="F381">
        <v>61628452463</v>
      </c>
      <c r="G381">
        <v>17142343256</v>
      </c>
      <c r="H381">
        <v>3.413829051</v>
      </c>
      <c r="I381">
        <v>12.27305965</v>
      </c>
      <c r="J381">
        <v>2.5951008299999998</v>
      </c>
    </row>
    <row r="382" spans="1:10" x14ac:dyDescent="0.25">
      <c r="A382" t="s">
        <v>21</v>
      </c>
      <c r="B382" s="1">
        <v>45382</v>
      </c>
      <c r="C382">
        <v>18818295502</v>
      </c>
      <c r="D382">
        <v>2691544192</v>
      </c>
      <c r="E382">
        <v>27944602045</v>
      </c>
      <c r="F382">
        <v>74405164472</v>
      </c>
      <c r="G382">
        <v>46460562427</v>
      </c>
      <c r="H382">
        <v>3.617415823</v>
      </c>
      <c r="I382">
        <v>5.793180392</v>
      </c>
      <c r="J382">
        <v>0.60146930200000004</v>
      </c>
    </row>
    <row r="383" spans="1:10" x14ac:dyDescent="0.25">
      <c r="A383" t="s">
        <v>21</v>
      </c>
      <c r="B383" s="1">
        <v>45473</v>
      </c>
      <c r="C383">
        <v>16561793827</v>
      </c>
      <c r="D383">
        <v>2435933937</v>
      </c>
      <c r="E383">
        <v>19456844175</v>
      </c>
      <c r="F383">
        <v>52664090849</v>
      </c>
      <c r="G383">
        <v>33207246674</v>
      </c>
      <c r="H383">
        <v>4.6254172379999998</v>
      </c>
      <c r="I383">
        <v>7.3355492570000003</v>
      </c>
      <c r="J383">
        <v>0.58592163200000003</v>
      </c>
    </row>
    <row r="384" spans="1:10" x14ac:dyDescent="0.25">
      <c r="A384" t="s">
        <v>21</v>
      </c>
      <c r="B384" s="1">
        <v>45565</v>
      </c>
      <c r="C384">
        <v>15036344926</v>
      </c>
      <c r="D384">
        <v>1704097607</v>
      </c>
      <c r="E384">
        <v>30603212259</v>
      </c>
      <c r="F384">
        <v>59444780752</v>
      </c>
      <c r="G384">
        <v>28841568494</v>
      </c>
      <c r="H384">
        <v>2.8666900360000001</v>
      </c>
      <c r="I384">
        <v>5.908477575</v>
      </c>
      <c r="J384">
        <v>1.061080026</v>
      </c>
    </row>
    <row r="385" spans="1:10" x14ac:dyDescent="0.25">
      <c r="A385" t="s">
        <v>21</v>
      </c>
      <c r="B385" s="1">
        <v>45657</v>
      </c>
      <c r="C385">
        <v>18915504026</v>
      </c>
      <c r="D385">
        <v>2413914962</v>
      </c>
      <c r="E385">
        <v>30820597362</v>
      </c>
      <c r="F385">
        <v>65357495789</v>
      </c>
      <c r="G385">
        <v>34536898427</v>
      </c>
      <c r="H385">
        <v>3.6934018549999998</v>
      </c>
      <c r="I385">
        <v>6.9893796840000002</v>
      </c>
      <c r="J385">
        <v>0.89239621300000005</v>
      </c>
    </row>
  </sheetData>
  <pageMargins left="0.7" right="0.7" top="0.75" bottom="0.75" header="0.3" footer="0.3"/>
  <ignoredErrors>
    <ignoredError sqref="M4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5"/>
  <sheetViews>
    <sheetView workbookViewId="0">
      <selection activeCell="G24" sqref="G24"/>
    </sheetView>
  </sheetViews>
  <sheetFormatPr defaultRowHeight="15" x14ac:dyDescent="0.25"/>
  <cols>
    <col min="1" max="1" width="20.7109375" bestFit="1" customWidth="1"/>
    <col min="2" max="2" width="10.7109375" bestFit="1" customWidth="1"/>
    <col min="3" max="4" width="12" bestFit="1" customWidth="1"/>
    <col min="5" max="5" width="21.42578125" style="3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s="3" t="s">
        <v>29</v>
      </c>
    </row>
    <row r="2" spans="1:5" x14ac:dyDescent="0.25">
      <c r="A2" t="s">
        <v>15</v>
      </c>
      <c r="B2" s="1">
        <v>42825</v>
      </c>
      <c r="C2">
        <v>13951553720</v>
      </c>
      <c r="D2">
        <v>1348710564</v>
      </c>
      <c r="E2" s="3">
        <f>(D2/C2)</f>
        <v>9.6670993859743384E-2</v>
      </c>
    </row>
    <row r="3" spans="1:5" x14ac:dyDescent="0.25">
      <c r="A3" t="s">
        <v>15</v>
      </c>
      <c r="B3" s="1">
        <v>42916</v>
      </c>
      <c r="C3">
        <v>15409119271</v>
      </c>
      <c r="D3">
        <v>924345905.79999995</v>
      </c>
      <c r="E3" s="3">
        <f t="shared" ref="E3:E65" si="0">(D3/C3)</f>
        <v>5.9986939522210153E-2</v>
      </c>
    </row>
    <row r="4" spans="1:5" x14ac:dyDescent="0.25">
      <c r="A4" t="s">
        <v>15</v>
      </c>
      <c r="B4" s="1">
        <v>43008</v>
      </c>
      <c r="C4">
        <v>14110556301</v>
      </c>
      <c r="D4">
        <v>1163491999</v>
      </c>
      <c r="E4" s="3">
        <f t="shared" si="0"/>
        <v>8.2455430826461784E-2</v>
      </c>
    </row>
    <row r="5" spans="1:5" x14ac:dyDescent="0.25">
      <c r="A5" t="s">
        <v>15</v>
      </c>
      <c r="B5" s="1">
        <v>43100</v>
      </c>
      <c r="C5">
        <v>11505351408</v>
      </c>
      <c r="D5">
        <v>1425682028</v>
      </c>
      <c r="E5" s="3">
        <f t="shared" si="0"/>
        <v>0.12391468782158904</v>
      </c>
    </row>
    <row r="6" spans="1:5" x14ac:dyDescent="0.25">
      <c r="A6" t="s">
        <v>15</v>
      </c>
      <c r="B6" s="1">
        <v>43190</v>
      </c>
      <c r="C6">
        <v>17427808963</v>
      </c>
      <c r="D6">
        <v>1967928248</v>
      </c>
      <c r="E6" s="3">
        <f t="shared" si="0"/>
        <v>0.11291885584573469</v>
      </c>
    </row>
    <row r="7" spans="1:5" x14ac:dyDescent="0.25">
      <c r="A7" t="s">
        <v>15</v>
      </c>
      <c r="B7" s="1">
        <v>43281</v>
      </c>
      <c r="C7">
        <v>10561657912</v>
      </c>
      <c r="D7">
        <v>1025524147</v>
      </c>
      <c r="E7" s="3">
        <f t="shared" si="0"/>
        <v>9.7098784636341473E-2</v>
      </c>
    </row>
    <row r="8" spans="1:5" x14ac:dyDescent="0.25">
      <c r="A8" t="s">
        <v>15</v>
      </c>
      <c r="B8" s="1">
        <v>43373</v>
      </c>
      <c r="C8">
        <v>10796012246</v>
      </c>
      <c r="D8">
        <v>986280250.60000002</v>
      </c>
      <c r="E8" s="3">
        <f t="shared" si="0"/>
        <v>9.1355977385578074E-2</v>
      </c>
    </row>
    <row r="9" spans="1:5" x14ac:dyDescent="0.25">
      <c r="A9" t="s">
        <v>15</v>
      </c>
      <c r="B9" s="1">
        <v>43465</v>
      </c>
      <c r="C9">
        <v>15273880507</v>
      </c>
      <c r="D9">
        <v>1698666925</v>
      </c>
      <c r="E9" s="3">
        <f t="shared" si="0"/>
        <v>0.11121384144792171</v>
      </c>
    </row>
    <row r="10" spans="1:5" x14ac:dyDescent="0.25">
      <c r="A10" t="s">
        <v>15</v>
      </c>
      <c r="B10" s="1">
        <v>43555</v>
      </c>
      <c r="C10">
        <v>17933328881</v>
      </c>
      <c r="D10">
        <v>1112803764</v>
      </c>
      <c r="E10" s="3">
        <f t="shared" si="0"/>
        <v>6.2052269903943663E-2</v>
      </c>
    </row>
    <row r="11" spans="1:5" x14ac:dyDescent="0.25">
      <c r="A11" t="s">
        <v>15</v>
      </c>
      <c r="B11" s="1">
        <v>43646</v>
      </c>
      <c r="C11">
        <v>9246129285</v>
      </c>
      <c r="D11">
        <v>1035650167</v>
      </c>
      <c r="E11" s="3">
        <f t="shared" si="0"/>
        <v>0.11200905103935067</v>
      </c>
    </row>
    <row r="12" spans="1:5" x14ac:dyDescent="0.25">
      <c r="A12" t="s">
        <v>15</v>
      </c>
      <c r="B12" s="1">
        <v>43738</v>
      </c>
      <c r="C12">
        <v>11461718687</v>
      </c>
      <c r="D12">
        <v>1380378045</v>
      </c>
      <c r="E12" s="3">
        <f t="shared" si="0"/>
        <v>0.1204337746105773</v>
      </c>
    </row>
    <row r="13" spans="1:5" x14ac:dyDescent="0.25">
      <c r="A13" t="s">
        <v>15</v>
      </c>
      <c r="B13" s="1">
        <v>43830</v>
      </c>
      <c r="C13">
        <v>15796654133</v>
      </c>
      <c r="D13">
        <v>805016265.79999995</v>
      </c>
      <c r="E13" s="3">
        <f t="shared" si="0"/>
        <v>5.096118830115301E-2</v>
      </c>
    </row>
    <row r="14" spans="1:5" x14ac:dyDescent="0.25">
      <c r="A14" t="s">
        <v>15</v>
      </c>
      <c r="B14" s="1">
        <v>43921</v>
      </c>
      <c r="C14">
        <v>17673360637</v>
      </c>
      <c r="D14">
        <v>1501884164</v>
      </c>
      <c r="E14" s="3">
        <f t="shared" si="0"/>
        <v>8.4980111867107827E-2</v>
      </c>
    </row>
    <row r="15" spans="1:5" x14ac:dyDescent="0.25">
      <c r="A15" t="s">
        <v>15</v>
      </c>
      <c r="B15" s="1">
        <v>44012</v>
      </c>
      <c r="C15">
        <v>16609605942</v>
      </c>
      <c r="D15">
        <v>2209253956</v>
      </c>
      <c r="E15" s="3">
        <f t="shared" si="0"/>
        <v>0.13301061829610022</v>
      </c>
    </row>
    <row r="16" spans="1:5" x14ac:dyDescent="0.25">
      <c r="A16" t="s">
        <v>15</v>
      </c>
      <c r="B16" s="1">
        <v>44104</v>
      </c>
      <c r="C16">
        <v>15589999588</v>
      </c>
      <c r="D16">
        <v>1310559971</v>
      </c>
      <c r="E16" s="3">
        <f t="shared" si="0"/>
        <v>8.406414404326025E-2</v>
      </c>
    </row>
    <row r="17" spans="1:5" x14ac:dyDescent="0.25">
      <c r="A17" t="s">
        <v>15</v>
      </c>
      <c r="B17" s="1">
        <v>44196</v>
      </c>
      <c r="C17">
        <v>19614896783</v>
      </c>
      <c r="D17">
        <v>1231038198</v>
      </c>
      <c r="E17" s="3">
        <f t="shared" si="0"/>
        <v>6.2760370937405413E-2</v>
      </c>
    </row>
    <row r="18" spans="1:5" x14ac:dyDescent="0.25">
      <c r="A18" t="s">
        <v>15</v>
      </c>
      <c r="B18" s="1">
        <v>44286</v>
      </c>
      <c r="C18">
        <v>6356573780</v>
      </c>
      <c r="D18">
        <v>831921707.29999995</v>
      </c>
      <c r="E18" s="3">
        <f t="shared" si="0"/>
        <v>0.13087580449667965</v>
      </c>
    </row>
    <row r="19" spans="1:5" x14ac:dyDescent="0.25">
      <c r="A19" t="s">
        <v>15</v>
      </c>
      <c r="B19" s="1">
        <v>44377</v>
      </c>
      <c r="C19">
        <v>5509568002</v>
      </c>
      <c r="D19">
        <v>378951538.10000002</v>
      </c>
      <c r="E19" s="3">
        <f t="shared" si="0"/>
        <v>6.8780626350820745E-2</v>
      </c>
    </row>
    <row r="20" spans="1:5" x14ac:dyDescent="0.25">
      <c r="A20" t="s">
        <v>15</v>
      </c>
      <c r="B20" s="1">
        <v>44469</v>
      </c>
      <c r="C20">
        <v>14468035363</v>
      </c>
      <c r="D20">
        <v>1480956904</v>
      </c>
      <c r="E20" s="3">
        <f t="shared" si="0"/>
        <v>0.10236060853067463</v>
      </c>
    </row>
    <row r="21" spans="1:5" x14ac:dyDescent="0.25">
      <c r="A21" t="s">
        <v>15</v>
      </c>
      <c r="B21" s="1">
        <v>44561</v>
      </c>
      <c r="C21">
        <v>18588737724</v>
      </c>
      <c r="D21">
        <v>2116759905</v>
      </c>
      <c r="E21" s="3">
        <f t="shared" si="0"/>
        <v>0.11387324607130489</v>
      </c>
    </row>
    <row r="22" spans="1:5" x14ac:dyDescent="0.25">
      <c r="A22" t="s">
        <v>15</v>
      </c>
      <c r="B22" s="1">
        <v>44651</v>
      </c>
      <c r="C22">
        <v>6523953565</v>
      </c>
      <c r="D22">
        <v>440649540.10000002</v>
      </c>
      <c r="E22" s="3">
        <f t="shared" si="0"/>
        <v>6.7543328705467268E-2</v>
      </c>
    </row>
    <row r="23" spans="1:5" x14ac:dyDescent="0.25">
      <c r="A23" t="s">
        <v>15</v>
      </c>
      <c r="B23" s="1">
        <v>44742</v>
      </c>
      <c r="C23">
        <v>8444063288</v>
      </c>
      <c r="D23">
        <v>1187007039</v>
      </c>
      <c r="E23" s="3">
        <f t="shared" si="0"/>
        <v>0.14057296807413508</v>
      </c>
    </row>
    <row r="24" spans="1:5" x14ac:dyDescent="0.25">
      <c r="A24" t="s">
        <v>15</v>
      </c>
      <c r="B24" s="1">
        <v>44834</v>
      </c>
      <c r="C24">
        <v>14873007184</v>
      </c>
      <c r="D24">
        <v>1613587509</v>
      </c>
      <c r="E24" s="3">
        <f t="shared" si="0"/>
        <v>0.1084910058226729</v>
      </c>
    </row>
    <row r="25" spans="1:5" x14ac:dyDescent="0.25">
      <c r="A25" t="s">
        <v>15</v>
      </c>
      <c r="B25" s="1">
        <v>44926</v>
      </c>
      <c r="C25">
        <v>9420241101</v>
      </c>
      <c r="D25">
        <v>990420474.39999998</v>
      </c>
      <c r="E25" s="3">
        <f t="shared" si="0"/>
        <v>0.10513748679902285</v>
      </c>
    </row>
    <row r="26" spans="1:5" x14ac:dyDescent="0.25">
      <c r="A26" t="s">
        <v>15</v>
      </c>
      <c r="B26" s="1">
        <v>45016</v>
      </c>
      <c r="C26">
        <v>10942719196</v>
      </c>
      <c r="D26">
        <v>1439735669</v>
      </c>
      <c r="E26" s="3">
        <f t="shared" si="0"/>
        <v>0.13157019230889894</v>
      </c>
    </row>
    <row r="27" spans="1:5" x14ac:dyDescent="0.25">
      <c r="A27" t="s">
        <v>15</v>
      </c>
      <c r="B27" s="1">
        <v>45107</v>
      </c>
      <c r="C27">
        <v>10399408221</v>
      </c>
      <c r="D27">
        <v>561732001.5</v>
      </c>
      <c r="E27" s="3">
        <f t="shared" si="0"/>
        <v>5.4015766047693842E-2</v>
      </c>
    </row>
    <row r="28" spans="1:5" x14ac:dyDescent="0.25">
      <c r="A28" t="s">
        <v>15</v>
      </c>
      <c r="B28" s="1">
        <v>45199</v>
      </c>
      <c r="C28">
        <v>5149849693</v>
      </c>
      <c r="D28">
        <v>750613275.10000002</v>
      </c>
      <c r="E28" s="3">
        <f t="shared" si="0"/>
        <v>0.14575440446743151</v>
      </c>
    </row>
    <row r="29" spans="1:5" x14ac:dyDescent="0.25">
      <c r="A29" t="s">
        <v>15</v>
      </c>
      <c r="B29" s="1">
        <v>45291</v>
      </c>
      <c r="C29">
        <v>12752580163</v>
      </c>
      <c r="D29">
        <v>884167446.60000002</v>
      </c>
      <c r="E29" s="3">
        <f t="shared" si="0"/>
        <v>6.9332435891310856E-2</v>
      </c>
    </row>
    <row r="30" spans="1:5" x14ac:dyDescent="0.25">
      <c r="A30" t="s">
        <v>15</v>
      </c>
      <c r="B30" s="1">
        <v>45382</v>
      </c>
      <c r="C30">
        <v>16377852382</v>
      </c>
      <c r="D30">
        <v>1007117429</v>
      </c>
      <c r="E30" s="3">
        <f t="shared" si="0"/>
        <v>6.1492642961348681E-2</v>
      </c>
    </row>
    <row r="31" spans="1:5" x14ac:dyDescent="0.25">
      <c r="A31" t="s">
        <v>15</v>
      </c>
      <c r="B31" s="1">
        <v>45473</v>
      </c>
      <c r="C31">
        <v>15923641671</v>
      </c>
      <c r="D31">
        <v>1238976660</v>
      </c>
      <c r="E31" s="3">
        <f t="shared" si="0"/>
        <v>7.7807368791550591E-2</v>
      </c>
    </row>
    <row r="32" spans="1:5" x14ac:dyDescent="0.25">
      <c r="A32" t="s">
        <v>15</v>
      </c>
      <c r="B32" s="1">
        <v>45565</v>
      </c>
      <c r="C32">
        <v>6531276814</v>
      </c>
      <c r="D32">
        <v>872767531.70000005</v>
      </c>
      <c r="E32" s="3">
        <f t="shared" si="0"/>
        <v>0.1336289299251863</v>
      </c>
    </row>
    <row r="33" spans="1:5" x14ac:dyDescent="0.25">
      <c r="A33" t="s">
        <v>15</v>
      </c>
      <c r="B33" s="1">
        <v>45657</v>
      </c>
      <c r="C33">
        <v>19139621006</v>
      </c>
      <c r="D33">
        <v>2834016899</v>
      </c>
      <c r="E33" s="3">
        <f t="shared" si="0"/>
        <v>0.1480706905383119</v>
      </c>
    </row>
    <row r="34" spans="1:5" x14ac:dyDescent="0.25">
      <c r="A34" t="s">
        <v>17</v>
      </c>
      <c r="B34" s="1">
        <v>42825</v>
      </c>
      <c r="C34">
        <v>6568715630</v>
      </c>
      <c r="D34">
        <v>719090971.20000005</v>
      </c>
      <c r="E34" s="3">
        <f t="shared" si="0"/>
        <v>0.1094720812567738</v>
      </c>
    </row>
    <row r="35" spans="1:5" x14ac:dyDescent="0.25">
      <c r="A35" t="s">
        <v>17</v>
      </c>
      <c r="B35" s="1">
        <v>42916</v>
      </c>
      <c r="C35">
        <v>6644029236</v>
      </c>
      <c r="D35">
        <v>744873003.70000005</v>
      </c>
      <c r="E35" s="3">
        <f t="shared" si="0"/>
        <v>0.1121116384714235</v>
      </c>
    </row>
    <row r="36" spans="1:5" x14ac:dyDescent="0.25">
      <c r="A36" t="s">
        <v>17</v>
      </c>
      <c r="B36" s="1">
        <v>43008</v>
      </c>
      <c r="C36">
        <v>18227487487</v>
      </c>
      <c r="D36">
        <v>1997618536</v>
      </c>
      <c r="E36" s="3">
        <f t="shared" si="0"/>
        <v>0.10959374063072153</v>
      </c>
    </row>
    <row r="37" spans="1:5" x14ac:dyDescent="0.25">
      <c r="A37" t="s">
        <v>17</v>
      </c>
      <c r="B37" s="1">
        <v>43100</v>
      </c>
      <c r="C37">
        <v>17560385805</v>
      </c>
      <c r="D37">
        <v>2276360916</v>
      </c>
      <c r="E37" s="3">
        <f t="shared" si="0"/>
        <v>0.12963046149884974</v>
      </c>
    </row>
    <row r="38" spans="1:5" x14ac:dyDescent="0.25">
      <c r="A38" t="s">
        <v>17</v>
      </c>
      <c r="B38" s="1">
        <v>43190</v>
      </c>
      <c r="C38">
        <v>19774628627</v>
      </c>
      <c r="D38">
        <v>1421900578</v>
      </c>
      <c r="E38" s="3">
        <f t="shared" si="0"/>
        <v>7.1905298694639297E-2</v>
      </c>
    </row>
    <row r="39" spans="1:5" x14ac:dyDescent="0.25">
      <c r="A39" t="s">
        <v>17</v>
      </c>
      <c r="B39" s="1">
        <v>43281</v>
      </c>
      <c r="C39">
        <v>5282345417</v>
      </c>
      <c r="D39">
        <v>541864195.89999998</v>
      </c>
      <c r="E39" s="3">
        <f t="shared" si="0"/>
        <v>0.10258022774431526</v>
      </c>
    </row>
    <row r="40" spans="1:5" x14ac:dyDescent="0.25">
      <c r="A40" t="s">
        <v>17</v>
      </c>
      <c r="B40" s="1">
        <v>43373</v>
      </c>
      <c r="C40">
        <v>8133295785</v>
      </c>
      <c r="D40">
        <v>750601103.20000005</v>
      </c>
      <c r="E40" s="3">
        <f t="shared" si="0"/>
        <v>9.2287446939322157E-2</v>
      </c>
    </row>
    <row r="41" spans="1:5" x14ac:dyDescent="0.25">
      <c r="A41" t="s">
        <v>17</v>
      </c>
      <c r="B41" s="1">
        <v>43465</v>
      </c>
      <c r="C41">
        <v>10184334320</v>
      </c>
      <c r="D41">
        <v>1365996842</v>
      </c>
      <c r="E41" s="3">
        <f t="shared" si="0"/>
        <v>0.13412725850107404</v>
      </c>
    </row>
    <row r="42" spans="1:5" x14ac:dyDescent="0.25">
      <c r="A42" t="s">
        <v>17</v>
      </c>
      <c r="B42" s="1">
        <v>43555</v>
      </c>
      <c r="C42">
        <v>18300753695</v>
      </c>
      <c r="D42">
        <v>989934361.29999995</v>
      </c>
      <c r="E42" s="3">
        <f t="shared" si="0"/>
        <v>5.4092546011941724E-2</v>
      </c>
    </row>
    <row r="43" spans="1:5" x14ac:dyDescent="0.25">
      <c r="A43" t="s">
        <v>17</v>
      </c>
      <c r="B43" s="1">
        <v>43646</v>
      </c>
      <c r="C43">
        <v>13878289168</v>
      </c>
      <c r="D43">
        <v>932271478.5</v>
      </c>
      <c r="E43" s="3">
        <f t="shared" si="0"/>
        <v>6.7174812919274948E-2</v>
      </c>
    </row>
    <row r="44" spans="1:5" x14ac:dyDescent="0.25">
      <c r="A44" t="s">
        <v>17</v>
      </c>
      <c r="B44" s="1">
        <v>43738</v>
      </c>
      <c r="C44">
        <v>13973147193</v>
      </c>
      <c r="D44">
        <v>1079900966</v>
      </c>
      <c r="E44" s="3">
        <f t="shared" si="0"/>
        <v>7.7284018488045989E-2</v>
      </c>
    </row>
    <row r="45" spans="1:5" x14ac:dyDescent="0.25">
      <c r="A45" t="s">
        <v>17</v>
      </c>
      <c r="B45" s="1">
        <v>43830</v>
      </c>
      <c r="C45">
        <v>8046709255</v>
      </c>
      <c r="D45">
        <v>662165230.70000005</v>
      </c>
      <c r="E45" s="3">
        <f t="shared" si="0"/>
        <v>8.2290189655920415E-2</v>
      </c>
    </row>
    <row r="46" spans="1:5" x14ac:dyDescent="0.25">
      <c r="A46" t="s">
        <v>17</v>
      </c>
      <c r="B46" s="1">
        <v>43921</v>
      </c>
      <c r="C46">
        <v>9236017256</v>
      </c>
      <c r="D46">
        <v>529982877.30000001</v>
      </c>
      <c r="E46" s="3">
        <f t="shared" si="0"/>
        <v>5.738218786411501E-2</v>
      </c>
    </row>
    <row r="47" spans="1:5" x14ac:dyDescent="0.25">
      <c r="A47" t="s">
        <v>17</v>
      </c>
      <c r="B47" s="1">
        <v>44012</v>
      </c>
      <c r="C47">
        <v>6413035553</v>
      </c>
      <c r="D47">
        <v>941195826.20000005</v>
      </c>
      <c r="E47" s="3">
        <f t="shared" si="0"/>
        <v>0.14676292037079247</v>
      </c>
    </row>
    <row r="48" spans="1:5" x14ac:dyDescent="0.25">
      <c r="A48" t="s">
        <v>17</v>
      </c>
      <c r="B48" s="1">
        <v>44104</v>
      </c>
      <c r="C48">
        <v>15986728775</v>
      </c>
      <c r="D48">
        <v>2071404633</v>
      </c>
      <c r="E48" s="3">
        <f t="shared" si="0"/>
        <v>0.129570261818619</v>
      </c>
    </row>
    <row r="49" spans="1:5" x14ac:dyDescent="0.25">
      <c r="A49" t="s">
        <v>17</v>
      </c>
      <c r="B49" s="1">
        <v>44196</v>
      </c>
      <c r="C49">
        <v>9687560178</v>
      </c>
      <c r="D49">
        <v>1027662516</v>
      </c>
      <c r="E49" s="3">
        <f t="shared" si="0"/>
        <v>0.10608063300951399</v>
      </c>
    </row>
    <row r="50" spans="1:5" x14ac:dyDescent="0.25">
      <c r="A50" t="s">
        <v>17</v>
      </c>
      <c r="B50" s="1">
        <v>44286</v>
      </c>
      <c r="C50">
        <v>6588278496</v>
      </c>
      <c r="D50">
        <v>731216298.10000002</v>
      </c>
      <c r="E50" s="3">
        <f t="shared" si="0"/>
        <v>0.11098746031212096</v>
      </c>
    </row>
    <row r="51" spans="1:5" x14ac:dyDescent="0.25">
      <c r="A51" t="s">
        <v>17</v>
      </c>
      <c r="B51" s="1">
        <v>44377</v>
      </c>
      <c r="C51">
        <v>11199189899</v>
      </c>
      <c r="D51">
        <v>719949867.5</v>
      </c>
      <c r="E51" s="3">
        <f t="shared" si="0"/>
        <v>6.4285887996620716E-2</v>
      </c>
    </row>
    <row r="52" spans="1:5" x14ac:dyDescent="0.25">
      <c r="A52" t="s">
        <v>17</v>
      </c>
      <c r="B52" s="1">
        <v>44469</v>
      </c>
      <c r="C52">
        <v>9000667547</v>
      </c>
      <c r="D52">
        <v>1079598533</v>
      </c>
      <c r="E52" s="3">
        <f t="shared" si="0"/>
        <v>0.11994649589738925</v>
      </c>
    </row>
    <row r="53" spans="1:5" x14ac:dyDescent="0.25">
      <c r="A53" t="s">
        <v>17</v>
      </c>
      <c r="B53" s="1">
        <v>44561</v>
      </c>
      <c r="C53">
        <v>12465229611</v>
      </c>
      <c r="D53">
        <v>800983300.39999998</v>
      </c>
      <c r="E53" s="3">
        <f t="shared" si="0"/>
        <v>6.4257404427846929E-2</v>
      </c>
    </row>
    <row r="54" spans="1:5" x14ac:dyDescent="0.25">
      <c r="A54" t="s">
        <v>17</v>
      </c>
      <c r="B54" s="1">
        <v>44651</v>
      </c>
      <c r="C54">
        <v>14896500404</v>
      </c>
      <c r="D54">
        <v>1471513321</v>
      </c>
      <c r="E54" s="3">
        <f t="shared" si="0"/>
        <v>9.8782484549516755E-2</v>
      </c>
    </row>
    <row r="55" spans="1:5" x14ac:dyDescent="0.25">
      <c r="A55" t="s">
        <v>17</v>
      </c>
      <c r="B55" s="1">
        <v>44742</v>
      </c>
      <c r="C55">
        <v>14799049316</v>
      </c>
      <c r="D55">
        <v>1792143630</v>
      </c>
      <c r="E55" s="3">
        <f t="shared" si="0"/>
        <v>0.12109856462620358</v>
      </c>
    </row>
    <row r="56" spans="1:5" x14ac:dyDescent="0.25">
      <c r="A56" t="s">
        <v>17</v>
      </c>
      <c r="B56" s="1">
        <v>44834</v>
      </c>
      <c r="C56">
        <v>18713092617</v>
      </c>
      <c r="D56">
        <v>1701020228</v>
      </c>
      <c r="E56" s="3">
        <f t="shared" si="0"/>
        <v>9.0900005830928235E-2</v>
      </c>
    </row>
    <row r="57" spans="1:5" x14ac:dyDescent="0.25">
      <c r="A57" t="s">
        <v>17</v>
      </c>
      <c r="B57" s="1">
        <v>44926</v>
      </c>
      <c r="C57">
        <v>16805465254</v>
      </c>
      <c r="D57">
        <v>1837934274</v>
      </c>
      <c r="E57" s="3">
        <f t="shared" si="0"/>
        <v>0.10936527172685914</v>
      </c>
    </row>
    <row r="58" spans="1:5" x14ac:dyDescent="0.25">
      <c r="A58" t="s">
        <v>17</v>
      </c>
      <c r="B58" s="1">
        <v>45016</v>
      </c>
      <c r="C58">
        <v>14505450248</v>
      </c>
      <c r="D58">
        <v>863046066.89999998</v>
      </c>
      <c r="E58" s="3">
        <f t="shared" si="0"/>
        <v>5.9498054327475708E-2</v>
      </c>
    </row>
    <row r="59" spans="1:5" x14ac:dyDescent="0.25">
      <c r="A59" t="s">
        <v>17</v>
      </c>
      <c r="B59" s="1">
        <v>45107</v>
      </c>
      <c r="C59">
        <v>10806122549</v>
      </c>
      <c r="D59">
        <v>698788622.5</v>
      </c>
      <c r="E59" s="3">
        <f t="shared" si="0"/>
        <v>6.4665990907595811E-2</v>
      </c>
    </row>
    <row r="60" spans="1:5" x14ac:dyDescent="0.25">
      <c r="A60" t="s">
        <v>17</v>
      </c>
      <c r="B60" s="1">
        <v>45199</v>
      </c>
      <c r="C60">
        <v>17167661800</v>
      </c>
      <c r="D60">
        <v>1338393789</v>
      </c>
      <c r="E60" s="3">
        <f t="shared" si="0"/>
        <v>7.7960167470214267E-2</v>
      </c>
    </row>
    <row r="61" spans="1:5" x14ac:dyDescent="0.25">
      <c r="A61" t="s">
        <v>17</v>
      </c>
      <c r="B61" s="1">
        <v>45291</v>
      </c>
      <c r="C61">
        <v>13414872686</v>
      </c>
      <c r="D61">
        <v>1069408471</v>
      </c>
      <c r="E61" s="3">
        <f t="shared" si="0"/>
        <v>7.9718123014022618E-2</v>
      </c>
    </row>
    <row r="62" spans="1:5" x14ac:dyDescent="0.25">
      <c r="A62" t="s">
        <v>17</v>
      </c>
      <c r="B62" s="1">
        <v>45382</v>
      </c>
      <c r="C62">
        <v>13351789947</v>
      </c>
      <c r="D62">
        <v>761306516.20000005</v>
      </c>
      <c r="E62" s="3">
        <f t="shared" si="0"/>
        <v>5.7019060307420225E-2</v>
      </c>
    </row>
    <row r="63" spans="1:5" x14ac:dyDescent="0.25">
      <c r="A63" t="s">
        <v>17</v>
      </c>
      <c r="B63" s="1">
        <v>45473</v>
      </c>
      <c r="C63">
        <v>8144018454</v>
      </c>
      <c r="D63">
        <v>529257365.39999998</v>
      </c>
      <c r="E63" s="3">
        <f t="shared" si="0"/>
        <v>6.4987250260963123E-2</v>
      </c>
    </row>
    <row r="64" spans="1:5" x14ac:dyDescent="0.25">
      <c r="A64" t="s">
        <v>17</v>
      </c>
      <c r="B64" s="1">
        <v>45565</v>
      </c>
      <c r="C64">
        <v>10824151396</v>
      </c>
      <c r="D64">
        <v>830279996.20000005</v>
      </c>
      <c r="E64" s="3">
        <f t="shared" si="0"/>
        <v>7.6706243826820925E-2</v>
      </c>
    </row>
    <row r="65" spans="1:5" x14ac:dyDescent="0.25">
      <c r="A65" t="s">
        <v>17</v>
      </c>
      <c r="B65" s="1">
        <v>45657</v>
      </c>
      <c r="C65">
        <v>16754700510</v>
      </c>
      <c r="D65">
        <v>923006607.20000005</v>
      </c>
      <c r="E65" s="3">
        <f t="shared" si="0"/>
        <v>5.5089412469599558E-2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5"/>
  <sheetViews>
    <sheetView workbookViewId="0">
      <selection activeCell="B26" sqref="B26"/>
    </sheetView>
  </sheetViews>
  <sheetFormatPr defaultRowHeight="15" x14ac:dyDescent="0.25"/>
  <cols>
    <col min="1" max="1" width="13.140625" customWidth="1"/>
    <col min="2" max="2" width="15" bestFit="1" customWidth="1"/>
    <col min="3" max="4" width="12" bestFit="1" customWidth="1"/>
    <col min="5" max="5" width="11" bestFit="1" customWidth="1"/>
    <col min="6" max="30" width="12" bestFit="1" customWidth="1"/>
    <col min="31" max="31" width="10" bestFit="1" customWidth="1"/>
    <col min="32" max="45" width="12" bestFit="1" customWidth="1"/>
    <col min="46" max="46" width="11" bestFit="1" customWidth="1"/>
    <col min="47" max="48" width="12" bestFit="1" customWidth="1"/>
    <col min="49" max="49" width="9" customWidth="1"/>
    <col min="50" max="55" width="12" bestFit="1" customWidth="1"/>
    <col min="56" max="56" width="11" bestFit="1" customWidth="1"/>
    <col min="57" max="60" width="12" bestFit="1" customWidth="1"/>
    <col min="61" max="61" width="11" bestFit="1" customWidth="1"/>
    <col min="62" max="65" width="12" bestFit="1" customWidth="1"/>
    <col min="66" max="66" width="11" bestFit="1" customWidth="1"/>
    <col min="67" max="76" width="12" bestFit="1" customWidth="1"/>
    <col min="77" max="77" width="11" bestFit="1" customWidth="1"/>
    <col min="78" max="85" width="12" bestFit="1" customWidth="1"/>
    <col min="86" max="86" width="11" bestFit="1" customWidth="1"/>
    <col min="87" max="97" width="12" bestFit="1" customWidth="1"/>
    <col min="98" max="98" width="11" bestFit="1" customWidth="1"/>
    <col min="99" max="113" width="12" bestFit="1" customWidth="1"/>
    <col min="114" max="115" width="11" bestFit="1" customWidth="1"/>
    <col min="116" max="120" width="12" bestFit="1" customWidth="1"/>
    <col min="121" max="121" width="11" bestFit="1" customWidth="1"/>
    <col min="122" max="126" width="12" bestFit="1" customWidth="1"/>
    <col min="127" max="127" width="11" bestFit="1" customWidth="1"/>
    <col min="128" max="151" width="12" bestFit="1" customWidth="1"/>
    <col min="152" max="153" width="11" bestFit="1" customWidth="1"/>
    <col min="154" max="170" width="12" bestFit="1" customWidth="1"/>
    <col min="171" max="171" width="10" bestFit="1" customWidth="1"/>
    <col min="172" max="172" width="11" bestFit="1" customWidth="1"/>
    <col min="173" max="175" width="12" bestFit="1" customWidth="1"/>
    <col min="176" max="177" width="11" bestFit="1" customWidth="1"/>
    <col min="178" max="191" width="12" bestFit="1" customWidth="1"/>
    <col min="192" max="192" width="11" bestFit="1" customWidth="1"/>
    <col min="193" max="200" width="12" bestFit="1" customWidth="1"/>
    <col min="201" max="201" width="11" bestFit="1" customWidth="1"/>
    <col min="202" max="218" width="12" bestFit="1" customWidth="1"/>
    <col min="219" max="219" width="11" bestFit="1" customWidth="1"/>
    <col min="220" max="225" width="12" bestFit="1" customWidth="1"/>
    <col min="226" max="226" width="11" bestFit="1" customWidth="1"/>
    <col min="227" max="232" width="12" bestFit="1" customWidth="1"/>
    <col min="233" max="233" width="11" bestFit="1" customWidth="1"/>
    <col min="234" max="254" width="12" bestFit="1" customWidth="1"/>
    <col min="255" max="255" width="11" bestFit="1" customWidth="1"/>
    <col min="256" max="261" width="12" bestFit="1" customWidth="1"/>
    <col min="262" max="262" width="11" bestFit="1" customWidth="1"/>
    <col min="263" max="284" width="12" bestFit="1" customWidth="1"/>
    <col min="285" max="285" width="11" bestFit="1" customWidth="1"/>
    <col min="286" max="302" width="12" bestFit="1" customWidth="1"/>
    <col min="303" max="303" width="11" bestFit="1" customWidth="1"/>
    <col min="304" max="309" width="12" bestFit="1" customWidth="1"/>
    <col min="310" max="310" width="11" bestFit="1" customWidth="1"/>
    <col min="311" max="313" width="12" bestFit="1" customWidth="1"/>
    <col min="314" max="315" width="11" bestFit="1" customWidth="1"/>
    <col min="316" max="343" width="12" bestFit="1" customWidth="1"/>
    <col min="344" max="344" width="11" bestFit="1" customWidth="1"/>
    <col min="345" max="353" width="12" bestFit="1" customWidth="1"/>
    <col min="354" max="354" width="11" bestFit="1" customWidth="1"/>
    <col min="355" max="372" width="12" bestFit="1" customWidth="1"/>
    <col min="373" max="373" width="11" bestFit="1" customWidth="1"/>
    <col min="374" max="383" width="12" bestFit="1" customWidth="1"/>
    <col min="384" max="384" width="11" bestFit="1" customWidth="1"/>
    <col min="385" max="385" width="12" bestFit="1" customWidth="1"/>
    <col min="386" max="386" width="11.28515625" bestFit="1" customWidth="1"/>
  </cols>
  <sheetData>
    <row r="1" spans="1:2" x14ac:dyDescent="0.25">
      <c r="A1" s="2" t="s">
        <v>0</v>
      </c>
      <c r="B1" t="s">
        <v>21</v>
      </c>
    </row>
    <row r="3" spans="1:2" x14ac:dyDescent="0.25">
      <c r="A3" s="2" t="s">
        <v>30</v>
      </c>
      <c r="B3" t="s">
        <v>31</v>
      </c>
    </row>
    <row r="4" spans="1:2" x14ac:dyDescent="0.25">
      <c r="A4" s="7">
        <v>42825</v>
      </c>
      <c r="B4">
        <v>0.77985399700000002</v>
      </c>
    </row>
    <row r="5" spans="1:2" x14ac:dyDescent="0.25">
      <c r="A5" s="7">
        <v>42916</v>
      </c>
      <c r="B5">
        <v>2.0663901619999998</v>
      </c>
    </row>
    <row r="6" spans="1:2" x14ac:dyDescent="0.25">
      <c r="A6" s="7">
        <v>43008</v>
      </c>
      <c r="B6">
        <v>3.2261566340000001</v>
      </c>
    </row>
    <row r="7" spans="1:2" x14ac:dyDescent="0.25">
      <c r="A7" s="7">
        <v>43100</v>
      </c>
      <c r="B7">
        <v>1.5673595259999999</v>
      </c>
    </row>
    <row r="8" spans="1:2" x14ac:dyDescent="0.25">
      <c r="A8" s="7">
        <v>43190</v>
      </c>
      <c r="B8">
        <v>0.97794899999999996</v>
      </c>
    </row>
    <row r="9" spans="1:2" x14ac:dyDescent="0.25">
      <c r="A9" s="7">
        <v>43281</v>
      </c>
      <c r="B9">
        <v>0.58343265499999997</v>
      </c>
    </row>
    <row r="10" spans="1:2" x14ac:dyDescent="0.25">
      <c r="A10" s="7">
        <v>43373</v>
      </c>
      <c r="B10">
        <v>1.7019213019999999</v>
      </c>
    </row>
    <row r="11" spans="1:2" x14ac:dyDescent="0.25">
      <c r="A11" s="7">
        <v>43465</v>
      </c>
      <c r="B11">
        <v>1.635037283</v>
      </c>
    </row>
    <row r="12" spans="1:2" x14ac:dyDescent="0.25">
      <c r="A12" s="7">
        <v>43555</v>
      </c>
      <c r="B12">
        <v>6.0559037069999997</v>
      </c>
    </row>
    <row r="13" spans="1:2" x14ac:dyDescent="0.25">
      <c r="A13" s="7">
        <v>43646</v>
      </c>
      <c r="B13">
        <v>4.1703821239999996</v>
      </c>
    </row>
    <row r="14" spans="1:2" x14ac:dyDescent="0.25">
      <c r="A14" s="7">
        <v>43738</v>
      </c>
      <c r="B14">
        <v>2.9311472049999998</v>
      </c>
    </row>
    <row r="15" spans="1:2" x14ac:dyDescent="0.25">
      <c r="A15" s="7">
        <v>43830</v>
      </c>
      <c r="B15">
        <v>2.0236197929999999</v>
      </c>
    </row>
    <row r="16" spans="1:2" x14ac:dyDescent="0.25">
      <c r="A16" s="7">
        <v>43921</v>
      </c>
      <c r="B16">
        <v>1.241932926</v>
      </c>
    </row>
    <row r="17" spans="1:2" x14ac:dyDescent="0.25">
      <c r="A17" s="7">
        <v>44012</v>
      </c>
      <c r="B17">
        <v>2.562288251</v>
      </c>
    </row>
    <row r="18" spans="1:2" x14ac:dyDescent="0.25">
      <c r="A18" s="7">
        <v>44104</v>
      </c>
      <c r="B18">
        <v>0.89621569700000003</v>
      </c>
    </row>
    <row r="19" spans="1:2" x14ac:dyDescent="0.25">
      <c r="A19" s="7">
        <v>44196</v>
      </c>
      <c r="B19">
        <v>1.214285573</v>
      </c>
    </row>
    <row r="20" spans="1:2" x14ac:dyDescent="0.25">
      <c r="A20" s="7">
        <v>44286</v>
      </c>
      <c r="B20">
        <v>2.7223235180000001</v>
      </c>
    </row>
    <row r="21" spans="1:2" x14ac:dyDescent="0.25">
      <c r="A21" s="7">
        <v>44377</v>
      </c>
      <c r="B21">
        <v>2.723952986</v>
      </c>
    </row>
    <row r="22" spans="1:2" x14ac:dyDescent="0.25">
      <c r="A22" s="7">
        <v>44469</v>
      </c>
      <c r="B22">
        <v>2.5416193919999999</v>
      </c>
    </row>
    <row r="23" spans="1:2" x14ac:dyDescent="0.25">
      <c r="A23" s="7">
        <v>44561</v>
      </c>
      <c r="B23">
        <v>3.9702956129999998</v>
      </c>
    </row>
    <row r="24" spans="1:2" x14ac:dyDescent="0.25">
      <c r="A24" s="7">
        <v>44651</v>
      </c>
      <c r="B24">
        <v>0.64658501700000004</v>
      </c>
    </row>
    <row r="25" spans="1:2" x14ac:dyDescent="0.25">
      <c r="A25" s="7">
        <v>44742</v>
      </c>
      <c r="B25">
        <v>2.7386036109999998</v>
      </c>
    </row>
    <row r="26" spans="1:2" x14ac:dyDescent="0.25">
      <c r="A26" s="7">
        <v>44834</v>
      </c>
      <c r="B26">
        <v>1.31329769</v>
      </c>
    </row>
    <row r="27" spans="1:2" x14ac:dyDescent="0.25">
      <c r="A27" s="7">
        <v>44926</v>
      </c>
      <c r="B27">
        <v>0.60471440499999995</v>
      </c>
    </row>
    <row r="28" spans="1:2" x14ac:dyDescent="0.25">
      <c r="A28" s="7">
        <v>45016</v>
      </c>
      <c r="B28">
        <v>3.4550897040000002</v>
      </c>
    </row>
    <row r="29" spans="1:2" x14ac:dyDescent="0.25">
      <c r="A29" s="7">
        <v>45107</v>
      </c>
      <c r="B29">
        <v>1.5381317969999999</v>
      </c>
    </row>
    <row r="30" spans="1:2" x14ac:dyDescent="0.25">
      <c r="A30" s="7">
        <v>45199</v>
      </c>
      <c r="B30">
        <v>1.6931602830000001</v>
      </c>
    </row>
    <row r="31" spans="1:2" x14ac:dyDescent="0.25">
      <c r="A31" s="7">
        <v>45291</v>
      </c>
      <c r="B31">
        <v>3.413829051</v>
      </c>
    </row>
    <row r="32" spans="1:2" x14ac:dyDescent="0.25">
      <c r="A32" s="7">
        <v>45382</v>
      </c>
      <c r="B32">
        <v>3.617415823</v>
      </c>
    </row>
    <row r="33" spans="1:2" x14ac:dyDescent="0.25">
      <c r="A33" s="7">
        <v>45473</v>
      </c>
      <c r="B33">
        <v>4.6254172379999998</v>
      </c>
    </row>
    <row r="34" spans="1:2" x14ac:dyDescent="0.25">
      <c r="A34" s="7">
        <v>45565</v>
      </c>
      <c r="B34">
        <v>2.8666900360000001</v>
      </c>
    </row>
    <row r="35" spans="1:2" x14ac:dyDescent="0.25">
      <c r="A35" s="7">
        <v>45657</v>
      </c>
      <c r="B35">
        <v>3.6934018549999998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B16"/>
  <sheetViews>
    <sheetView topLeftCell="A22" workbookViewId="0">
      <selection activeCell="C24" sqref="C24"/>
    </sheetView>
  </sheetViews>
  <sheetFormatPr defaultRowHeight="15" x14ac:dyDescent="0.25"/>
  <cols>
    <col min="1" max="1" width="24.5703125" bestFit="1" customWidth="1"/>
    <col min="2" max="2" width="13.42578125" bestFit="1" customWidth="1"/>
  </cols>
  <sheetData>
    <row r="3" spans="1:2" x14ac:dyDescent="0.25">
      <c r="A3" s="2" t="s">
        <v>30</v>
      </c>
      <c r="B3" t="s">
        <v>34</v>
      </c>
    </row>
    <row r="4" spans="1:2" x14ac:dyDescent="0.25">
      <c r="A4" s="7">
        <v>45657</v>
      </c>
      <c r="B4" s="10">
        <v>804947867692</v>
      </c>
    </row>
    <row r="5" spans="1:2" x14ac:dyDescent="0.25">
      <c r="A5" s="5" t="s">
        <v>17</v>
      </c>
      <c r="B5" s="10">
        <v>96053458782</v>
      </c>
    </row>
    <row r="6" spans="1:2" x14ac:dyDescent="0.25">
      <c r="A6" s="5" t="s">
        <v>14</v>
      </c>
      <c r="B6" s="10">
        <v>88221659272</v>
      </c>
    </row>
    <row r="7" spans="1:2" x14ac:dyDescent="0.25">
      <c r="A7" s="5" t="s">
        <v>11</v>
      </c>
      <c r="B7" s="10">
        <v>83248031989</v>
      </c>
    </row>
    <row r="8" spans="1:2" x14ac:dyDescent="0.25">
      <c r="A8" s="5" t="s">
        <v>18</v>
      </c>
      <c r="B8" s="10">
        <v>80121015584</v>
      </c>
    </row>
    <row r="9" spans="1:2" x14ac:dyDescent="0.25">
      <c r="A9" s="5" t="s">
        <v>16</v>
      </c>
      <c r="B9" s="10">
        <v>79618978403</v>
      </c>
    </row>
    <row r="10" spans="1:2" x14ac:dyDescent="0.25">
      <c r="A10" s="5" t="s">
        <v>19</v>
      </c>
      <c r="B10" s="10">
        <v>76222443508</v>
      </c>
    </row>
    <row r="11" spans="1:2" x14ac:dyDescent="0.25">
      <c r="A11" s="5" t="s">
        <v>21</v>
      </c>
      <c r="B11" s="10">
        <v>65357495789</v>
      </c>
    </row>
    <row r="12" spans="1:2" x14ac:dyDescent="0.25">
      <c r="A12" s="5" t="s">
        <v>20</v>
      </c>
      <c r="B12" s="10">
        <v>62560115073</v>
      </c>
    </row>
    <row r="13" spans="1:2" x14ac:dyDescent="0.25">
      <c r="A13" s="5" t="s">
        <v>13</v>
      </c>
      <c r="B13" s="10">
        <v>57427208762</v>
      </c>
    </row>
    <row r="14" spans="1:2" x14ac:dyDescent="0.25">
      <c r="A14" s="5" t="s">
        <v>12</v>
      </c>
      <c r="B14" s="10">
        <v>41830939577</v>
      </c>
    </row>
    <row r="15" spans="1:2" x14ac:dyDescent="0.25">
      <c r="A15" s="5" t="s">
        <v>15</v>
      </c>
      <c r="B15" s="10">
        <v>41643539977</v>
      </c>
    </row>
    <row r="16" spans="1:2" x14ac:dyDescent="0.25">
      <c r="A16" s="5" t="s">
        <v>10</v>
      </c>
      <c r="B16" s="10">
        <v>32642980976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B111"/>
  <sheetViews>
    <sheetView workbookViewId="0">
      <selection activeCell="B26" sqref="B26"/>
    </sheetView>
  </sheetViews>
  <sheetFormatPr defaultRowHeight="15" x14ac:dyDescent="0.25"/>
  <cols>
    <col min="1" max="1" width="22.7109375" customWidth="1"/>
    <col min="2" max="2" width="15.7109375" customWidth="1"/>
  </cols>
  <sheetData>
    <row r="3" spans="1:2" x14ac:dyDescent="0.25">
      <c r="A3" s="2" t="s">
        <v>30</v>
      </c>
      <c r="B3" t="s">
        <v>35</v>
      </c>
    </row>
    <row r="4" spans="1:2" x14ac:dyDescent="0.25">
      <c r="A4" s="4" t="s">
        <v>12</v>
      </c>
      <c r="B4" s="9">
        <v>109628991415</v>
      </c>
    </row>
    <row r="5" spans="1:2" x14ac:dyDescent="0.25">
      <c r="A5" s="6">
        <v>45016</v>
      </c>
      <c r="B5" s="9">
        <v>14581130415</v>
      </c>
    </row>
    <row r="6" spans="1:2" x14ac:dyDescent="0.25">
      <c r="A6" s="6">
        <v>45107</v>
      </c>
      <c r="B6" s="9">
        <v>5318114486</v>
      </c>
    </row>
    <row r="7" spans="1:2" x14ac:dyDescent="0.25">
      <c r="A7" s="6">
        <v>45199</v>
      </c>
      <c r="B7" s="9">
        <v>19814938566</v>
      </c>
    </row>
    <row r="8" spans="1:2" x14ac:dyDescent="0.25">
      <c r="A8" s="6">
        <v>45291</v>
      </c>
      <c r="B8" s="9">
        <v>13941085692</v>
      </c>
    </row>
    <row r="9" spans="1:2" x14ac:dyDescent="0.25">
      <c r="A9" s="6">
        <v>45382</v>
      </c>
      <c r="B9" s="9">
        <v>18801502624</v>
      </c>
    </row>
    <row r="10" spans="1:2" x14ac:dyDescent="0.25">
      <c r="A10" s="6">
        <v>45473</v>
      </c>
      <c r="B10" s="9">
        <v>13059939771</v>
      </c>
    </row>
    <row r="11" spans="1:2" x14ac:dyDescent="0.25">
      <c r="A11" s="6">
        <v>45565</v>
      </c>
      <c r="B11" s="9">
        <v>16908879786</v>
      </c>
    </row>
    <row r="12" spans="1:2" x14ac:dyDescent="0.25">
      <c r="A12" s="6">
        <v>45657</v>
      </c>
      <c r="B12" s="9">
        <v>7203400075</v>
      </c>
    </row>
    <row r="13" spans="1:2" x14ac:dyDescent="0.25">
      <c r="A13" s="4" t="s">
        <v>14</v>
      </c>
      <c r="B13" s="9">
        <v>108044143312</v>
      </c>
    </row>
    <row r="14" spans="1:2" x14ac:dyDescent="0.25">
      <c r="A14" s="6">
        <v>45016</v>
      </c>
      <c r="B14" s="9">
        <v>9496852852</v>
      </c>
    </row>
    <row r="15" spans="1:2" x14ac:dyDescent="0.25">
      <c r="A15" s="6">
        <v>45107</v>
      </c>
      <c r="B15" s="9">
        <v>14800185962</v>
      </c>
    </row>
    <row r="16" spans="1:2" x14ac:dyDescent="0.25">
      <c r="A16" s="6">
        <v>45199</v>
      </c>
      <c r="B16" s="9">
        <v>8416753062</v>
      </c>
    </row>
    <row r="17" spans="1:2" x14ac:dyDescent="0.25">
      <c r="A17" s="6">
        <v>45291</v>
      </c>
      <c r="B17" s="9">
        <v>12852011317</v>
      </c>
    </row>
    <row r="18" spans="1:2" x14ac:dyDescent="0.25">
      <c r="A18" s="6">
        <v>45382</v>
      </c>
      <c r="B18" s="9">
        <v>19756965859</v>
      </c>
    </row>
    <row r="19" spans="1:2" x14ac:dyDescent="0.25">
      <c r="A19" s="6">
        <v>45473</v>
      </c>
      <c r="B19" s="9">
        <v>11122911230</v>
      </c>
    </row>
    <row r="20" spans="1:2" x14ac:dyDescent="0.25">
      <c r="A20" s="6">
        <v>45565</v>
      </c>
      <c r="B20" s="9">
        <v>16485330446</v>
      </c>
    </row>
    <row r="21" spans="1:2" x14ac:dyDescent="0.25">
      <c r="A21" s="6">
        <v>45657</v>
      </c>
      <c r="B21" s="9">
        <v>15113132584</v>
      </c>
    </row>
    <row r="22" spans="1:2" x14ac:dyDescent="0.25">
      <c r="A22" s="4" t="s">
        <v>18</v>
      </c>
      <c r="B22" s="9">
        <v>83684156390</v>
      </c>
    </row>
    <row r="23" spans="1:2" x14ac:dyDescent="0.25">
      <c r="A23" s="6">
        <v>45016</v>
      </c>
      <c r="B23" s="9">
        <v>15711957620</v>
      </c>
    </row>
    <row r="24" spans="1:2" x14ac:dyDescent="0.25">
      <c r="A24" s="6">
        <v>45107</v>
      </c>
      <c r="B24" s="9">
        <v>10038837028</v>
      </c>
    </row>
    <row r="25" spans="1:2" x14ac:dyDescent="0.25">
      <c r="A25" s="6">
        <v>45199</v>
      </c>
      <c r="B25" s="9">
        <v>9457609977</v>
      </c>
    </row>
    <row r="26" spans="1:2" x14ac:dyDescent="0.25">
      <c r="A26" s="6">
        <v>45291</v>
      </c>
      <c r="B26" s="9">
        <v>15851738346</v>
      </c>
    </row>
    <row r="27" spans="1:2" x14ac:dyDescent="0.25">
      <c r="A27" s="6">
        <v>45382</v>
      </c>
      <c r="B27" s="9">
        <v>10194351917</v>
      </c>
    </row>
    <row r="28" spans="1:2" x14ac:dyDescent="0.25">
      <c r="A28" s="6">
        <v>45473</v>
      </c>
      <c r="B28" s="9">
        <v>7369565272</v>
      </c>
    </row>
    <row r="29" spans="1:2" x14ac:dyDescent="0.25">
      <c r="A29" s="6">
        <v>45565</v>
      </c>
      <c r="B29" s="9">
        <v>9332023907</v>
      </c>
    </row>
    <row r="30" spans="1:2" x14ac:dyDescent="0.25">
      <c r="A30" s="6">
        <v>45657</v>
      </c>
      <c r="B30" s="9">
        <v>5728072323</v>
      </c>
    </row>
    <row r="31" spans="1:2" x14ac:dyDescent="0.25">
      <c r="A31" s="4" t="s">
        <v>13</v>
      </c>
      <c r="B31" s="9">
        <v>112942825390</v>
      </c>
    </row>
    <row r="32" spans="1:2" x14ac:dyDescent="0.25">
      <c r="A32" s="6">
        <v>45016</v>
      </c>
      <c r="B32" s="9">
        <v>19456335114</v>
      </c>
    </row>
    <row r="33" spans="1:2" x14ac:dyDescent="0.25">
      <c r="A33" s="6">
        <v>45107</v>
      </c>
      <c r="B33" s="9">
        <v>14368618381</v>
      </c>
    </row>
    <row r="34" spans="1:2" x14ac:dyDescent="0.25">
      <c r="A34" s="6">
        <v>45199</v>
      </c>
      <c r="B34" s="9">
        <v>12729885504</v>
      </c>
    </row>
    <row r="35" spans="1:2" x14ac:dyDescent="0.25">
      <c r="A35" s="6">
        <v>45291</v>
      </c>
      <c r="B35" s="9">
        <v>8469619625</v>
      </c>
    </row>
    <row r="36" spans="1:2" x14ac:dyDescent="0.25">
      <c r="A36" s="6">
        <v>45382</v>
      </c>
      <c r="B36" s="9">
        <v>15848632086</v>
      </c>
    </row>
    <row r="37" spans="1:2" x14ac:dyDescent="0.25">
      <c r="A37" s="6">
        <v>45473</v>
      </c>
      <c r="B37" s="9">
        <v>17928146832</v>
      </c>
    </row>
    <row r="38" spans="1:2" x14ac:dyDescent="0.25">
      <c r="A38" s="6">
        <v>45565</v>
      </c>
      <c r="B38" s="9">
        <v>17989542164</v>
      </c>
    </row>
    <row r="39" spans="1:2" x14ac:dyDescent="0.25">
      <c r="A39" s="6">
        <v>45657</v>
      </c>
      <c r="B39" s="9">
        <v>6152045684</v>
      </c>
    </row>
    <row r="40" spans="1:2" x14ac:dyDescent="0.25">
      <c r="A40" s="4" t="s">
        <v>16</v>
      </c>
      <c r="B40" s="9">
        <v>96772302326</v>
      </c>
    </row>
    <row r="41" spans="1:2" x14ac:dyDescent="0.25">
      <c r="A41" s="6">
        <v>45016</v>
      </c>
      <c r="B41" s="9">
        <v>13197347212</v>
      </c>
    </row>
    <row r="42" spans="1:2" x14ac:dyDescent="0.25">
      <c r="A42" s="6">
        <v>45107</v>
      </c>
      <c r="B42" s="9">
        <v>6677625789</v>
      </c>
    </row>
    <row r="43" spans="1:2" x14ac:dyDescent="0.25">
      <c r="A43" s="6">
        <v>45199</v>
      </c>
      <c r="B43" s="9">
        <v>13104191262</v>
      </c>
    </row>
    <row r="44" spans="1:2" x14ac:dyDescent="0.25">
      <c r="A44" s="6">
        <v>45291</v>
      </c>
      <c r="B44" s="9">
        <v>5161220914</v>
      </c>
    </row>
    <row r="45" spans="1:2" x14ac:dyDescent="0.25">
      <c r="A45" s="6">
        <v>45382</v>
      </c>
      <c r="B45" s="9">
        <v>17637310202</v>
      </c>
    </row>
    <row r="46" spans="1:2" x14ac:dyDescent="0.25">
      <c r="A46" s="6">
        <v>45473</v>
      </c>
      <c r="B46" s="9">
        <v>9897018704</v>
      </c>
    </row>
    <row r="47" spans="1:2" x14ac:dyDescent="0.25">
      <c r="A47" s="6">
        <v>45565</v>
      </c>
      <c r="B47" s="9">
        <v>14640665936</v>
      </c>
    </row>
    <row r="48" spans="1:2" x14ac:dyDescent="0.25">
      <c r="A48" s="6">
        <v>45657</v>
      </c>
      <c r="B48" s="9">
        <v>16456922307</v>
      </c>
    </row>
    <row r="49" spans="1:2" x14ac:dyDescent="0.25">
      <c r="A49" s="4" t="s">
        <v>19</v>
      </c>
      <c r="B49" s="9">
        <v>111908208180</v>
      </c>
    </row>
    <row r="50" spans="1:2" x14ac:dyDescent="0.25">
      <c r="A50" s="6">
        <v>45016</v>
      </c>
      <c r="B50" s="9">
        <v>7317098693</v>
      </c>
    </row>
    <row r="51" spans="1:2" x14ac:dyDescent="0.25">
      <c r="A51" s="6">
        <v>45107</v>
      </c>
      <c r="B51" s="9">
        <v>7129233268</v>
      </c>
    </row>
    <row r="52" spans="1:2" x14ac:dyDescent="0.25">
      <c r="A52" s="6">
        <v>45199</v>
      </c>
      <c r="B52" s="9">
        <v>17914537947</v>
      </c>
    </row>
    <row r="53" spans="1:2" x14ac:dyDescent="0.25">
      <c r="A53" s="6">
        <v>45291</v>
      </c>
      <c r="B53" s="9">
        <v>12421650351</v>
      </c>
    </row>
    <row r="54" spans="1:2" x14ac:dyDescent="0.25">
      <c r="A54" s="6">
        <v>45382</v>
      </c>
      <c r="B54" s="9">
        <v>19417487313</v>
      </c>
    </row>
    <row r="55" spans="1:2" x14ac:dyDescent="0.25">
      <c r="A55" s="6">
        <v>45473</v>
      </c>
      <c r="B55" s="9">
        <v>9306050327</v>
      </c>
    </row>
    <row r="56" spans="1:2" x14ac:dyDescent="0.25">
      <c r="A56" s="6">
        <v>45565</v>
      </c>
      <c r="B56" s="9">
        <v>18549946525</v>
      </c>
    </row>
    <row r="57" spans="1:2" x14ac:dyDescent="0.25">
      <c r="A57" s="6">
        <v>45657</v>
      </c>
      <c r="B57" s="9">
        <v>19852203756</v>
      </c>
    </row>
    <row r="58" spans="1:2" x14ac:dyDescent="0.25">
      <c r="A58" s="4" t="s">
        <v>15</v>
      </c>
      <c r="B58" s="9">
        <v>97216949146</v>
      </c>
    </row>
    <row r="59" spans="1:2" x14ac:dyDescent="0.25">
      <c r="A59" s="6">
        <v>45016</v>
      </c>
      <c r="B59" s="9">
        <v>10942719196</v>
      </c>
    </row>
    <row r="60" spans="1:2" x14ac:dyDescent="0.25">
      <c r="A60" s="6">
        <v>45107</v>
      </c>
      <c r="B60" s="9">
        <v>10399408221</v>
      </c>
    </row>
    <row r="61" spans="1:2" x14ac:dyDescent="0.25">
      <c r="A61" s="6">
        <v>45199</v>
      </c>
      <c r="B61" s="9">
        <v>5149849693</v>
      </c>
    </row>
    <row r="62" spans="1:2" x14ac:dyDescent="0.25">
      <c r="A62" s="6">
        <v>45291</v>
      </c>
      <c r="B62" s="9">
        <v>12752580163</v>
      </c>
    </row>
    <row r="63" spans="1:2" x14ac:dyDescent="0.25">
      <c r="A63" s="6">
        <v>45382</v>
      </c>
      <c r="B63" s="9">
        <v>16377852382</v>
      </c>
    </row>
    <row r="64" spans="1:2" x14ac:dyDescent="0.25">
      <c r="A64" s="6">
        <v>45473</v>
      </c>
      <c r="B64" s="9">
        <v>15923641671</v>
      </c>
    </row>
    <row r="65" spans="1:2" x14ac:dyDescent="0.25">
      <c r="A65" s="6">
        <v>45565</v>
      </c>
      <c r="B65" s="9">
        <v>6531276814</v>
      </c>
    </row>
    <row r="66" spans="1:2" x14ac:dyDescent="0.25">
      <c r="A66" s="6">
        <v>45657</v>
      </c>
      <c r="B66" s="9">
        <v>19139621006</v>
      </c>
    </row>
    <row r="67" spans="1:2" x14ac:dyDescent="0.25">
      <c r="A67" s="4" t="s">
        <v>21</v>
      </c>
      <c r="B67" s="9">
        <v>123499038495</v>
      </c>
    </row>
    <row r="68" spans="1:2" x14ac:dyDescent="0.25">
      <c r="A68" s="6">
        <v>45016</v>
      </c>
      <c r="B68" s="9">
        <v>18085416710</v>
      </c>
    </row>
    <row r="69" spans="1:2" x14ac:dyDescent="0.25">
      <c r="A69" s="6">
        <v>45107</v>
      </c>
      <c r="B69" s="9">
        <v>9146296754</v>
      </c>
    </row>
    <row r="70" spans="1:2" x14ac:dyDescent="0.25">
      <c r="A70" s="6">
        <v>45199</v>
      </c>
      <c r="B70" s="9">
        <v>9297896247</v>
      </c>
    </row>
    <row r="71" spans="1:2" x14ac:dyDescent="0.25">
      <c r="A71" s="6">
        <v>45291</v>
      </c>
      <c r="B71" s="9">
        <v>17637490503</v>
      </c>
    </row>
    <row r="72" spans="1:2" x14ac:dyDescent="0.25">
      <c r="A72" s="6">
        <v>45382</v>
      </c>
      <c r="B72" s="9">
        <v>18818295502</v>
      </c>
    </row>
    <row r="73" spans="1:2" x14ac:dyDescent="0.25">
      <c r="A73" s="6">
        <v>45473</v>
      </c>
      <c r="B73" s="9">
        <v>16561793827</v>
      </c>
    </row>
    <row r="74" spans="1:2" x14ac:dyDescent="0.25">
      <c r="A74" s="6">
        <v>45565</v>
      </c>
      <c r="B74" s="9">
        <v>15036344926</v>
      </c>
    </row>
    <row r="75" spans="1:2" x14ac:dyDescent="0.25">
      <c r="A75" s="6">
        <v>45657</v>
      </c>
      <c r="B75" s="9">
        <v>18915504026</v>
      </c>
    </row>
    <row r="76" spans="1:2" x14ac:dyDescent="0.25">
      <c r="A76" s="4" t="s">
        <v>20</v>
      </c>
      <c r="B76" s="9">
        <v>112767193009</v>
      </c>
    </row>
    <row r="77" spans="1:2" x14ac:dyDescent="0.25">
      <c r="A77" s="6">
        <v>45016</v>
      </c>
      <c r="B77" s="9">
        <v>8880891013</v>
      </c>
    </row>
    <row r="78" spans="1:2" x14ac:dyDescent="0.25">
      <c r="A78" s="6">
        <v>45107</v>
      </c>
      <c r="B78" s="9">
        <v>16477351074</v>
      </c>
    </row>
    <row r="79" spans="1:2" x14ac:dyDescent="0.25">
      <c r="A79" s="6">
        <v>45199</v>
      </c>
      <c r="B79" s="9">
        <v>12920254885</v>
      </c>
    </row>
    <row r="80" spans="1:2" x14ac:dyDescent="0.25">
      <c r="A80" s="6">
        <v>45291</v>
      </c>
      <c r="B80" s="9">
        <v>16438581863</v>
      </c>
    </row>
    <row r="81" spans="1:2" x14ac:dyDescent="0.25">
      <c r="A81" s="6">
        <v>45382</v>
      </c>
      <c r="B81" s="9">
        <v>12668426079</v>
      </c>
    </row>
    <row r="82" spans="1:2" x14ac:dyDescent="0.25">
      <c r="A82" s="6">
        <v>45473</v>
      </c>
      <c r="B82" s="9">
        <v>16413767338</v>
      </c>
    </row>
    <row r="83" spans="1:2" x14ac:dyDescent="0.25">
      <c r="A83" s="6">
        <v>45565</v>
      </c>
      <c r="B83" s="9">
        <v>15911174550</v>
      </c>
    </row>
    <row r="84" spans="1:2" x14ac:dyDescent="0.25">
      <c r="A84" s="6">
        <v>45657</v>
      </c>
      <c r="B84" s="9">
        <v>13056746207</v>
      </c>
    </row>
    <row r="85" spans="1:2" x14ac:dyDescent="0.25">
      <c r="A85" s="4" t="s">
        <v>17</v>
      </c>
      <c r="B85" s="9">
        <v>104968767590</v>
      </c>
    </row>
    <row r="86" spans="1:2" x14ac:dyDescent="0.25">
      <c r="A86" s="6">
        <v>45016</v>
      </c>
      <c r="B86" s="9">
        <v>14505450248</v>
      </c>
    </row>
    <row r="87" spans="1:2" x14ac:dyDescent="0.25">
      <c r="A87" s="6">
        <v>45107</v>
      </c>
      <c r="B87" s="9">
        <v>10806122549</v>
      </c>
    </row>
    <row r="88" spans="1:2" x14ac:dyDescent="0.25">
      <c r="A88" s="6">
        <v>45199</v>
      </c>
      <c r="B88" s="9">
        <v>17167661800</v>
      </c>
    </row>
    <row r="89" spans="1:2" x14ac:dyDescent="0.25">
      <c r="A89" s="6">
        <v>45291</v>
      </c>
      <c r="B89" s="9">
        <v>13414872686</v>
      </c>
    </row>
    <row r="90" spans="1:2" x14ac:dyDescent="0.25">
      <c r="A90" s="6">
        <v>45382</v>
      </c>
      <c r="B90" s="9">
        <v>13351789947</v>
      </c>
    </row>
    <row r="91" spans="1:2" x14ac:dyDescent="0.25">
      <c r="A91" s="6">
        <v>45473</v>
      </c>
      <c r="B91" s="9">
        <v>8144018454</v>
      </c>
    </row>
    <row r="92" spans="1:2" x14ac:dyDescent="0.25">
      <c r="A92" s="6">
        <v>45565</v>
      </c>
      <c r="B92" s="9">
        <v>10824151396</v>
      </c>
    </row>
    <row r="93" spans="1:2" x14ac:dyDescent="0.25">
      <c r="A93" s="6">
        <v>45657</v>
      </c>
      <c r="B93" s="9">
        <v>16754700510</v>
      </c>
    </row>
    <row r="94" spans="1:2" x14ac:dyDescent="0.25">
      <c r="A94" s="4" t="s">
        <v>11</v>
      </c>
      <c r="B94" s="9">
        <v>91631617673</v>
      </c>
    </row>
    <row r="95" spans="1:2" x14ac:dyDescent="0.25">
      <c r="A95" s="6">
        <v>45016</v>
      </c>
      <c r="B95" s="9">
        <v>13888922534</v>
      </c>
    </row>
    <row r="96" spans="1:2" x14ac:dyDescent="0.25">
      <c r="A96" s="6">
        <v>45107</v>
      </c>
      <c r="B96" s="9">
        <v>14327627383</v>
      </c>
    </row>
    <row r="97" spans="1:2" x14ac:dyDescent="0.25">
      <c r="A97" s="6">
        <v>45199</v>
      </c>
      <c r="B97" s="9">
        <v>10185412162</v>
      </c>
    </row>
    <row r="98" spans="1:2" x14ac:dyDescent="0.25">
      <c r="A98" s="6">
        <v>45291</v>
      </c>
      <c r="B98" s="9">
        <v>8282175431</v>
      </c>
    </row>
    <row r="99" spans="1:2" x14ac:dyDescent="0.25">
      <c r="A99" s="6">
        <v>45382</v>
      </c>
      <c r="B99" s="9">
        <v>15785741204</v>
      </c>
    </row>
    <row r="100" spans="1:2" x14ac:dyDescent="0.25">
      <c r="A100" s="6">
        <v>45473</v>
      </c>
      <c r="B100" s="9">
        <v>9018099865</v>
      </c>
    </row>
    <row r="101" spans="1:2" x14ac:dyDescent="0.25">
      <c r="A101" s="6">
        <v>45565</v>
      </c>
      <c r="B101" s="9">
        <v>11691964631</v>
      </c>
    </row>
    <row r="102" spans="1:2" x14ac:dyDescent="0.25">
      <c r="A102" s="6">
        <v>45657</v>
      </c>
      <c r="B102" s="9">
        <v>8451674463</v>
      </c>
    </row>
    <row r="103" spans="1:2" x14ac:dyDescent="0.25">
      <c r="A103" s="4" t="s">
        <v>10</v>
      </c>
      <c r="B103" s="9">
        <v>98960793952</v>
      </c>
    </row>
    <row r="104" spans="1:2" x14ac:dyDescent="0.25">
      <c r="A104" s="6">
        <v>45016</v>
      </c>
      <c r="B104" s="9">
        <v>13460197722</v>
      </c>
    </row>
    <row r="105" spans="1:2" x14ac:dyDescent="0.25">
      <c r="A105" s="6">
        <v>45107</v>
      </c>
      <c r="B105" s="9">
        <v>12729418594</v>
      </c>
    </row>
    <row r="106" spans="1:2" x14ac:dyDescent="0.25">
      <c r="A106" s="6">
        <v>45199</v>
      </c>
      <c r="B106" s="9">
        <v>11664866018</v>
      </c>
    </row>
    <row r="107" spans="1:2" x14ac:dyDescent="0.25">
      <c r="A107" s="6">
        <v>45291</v>
      </c>
      <c r="B107" s="9">
        <v>16782030250</v>
      </c>
    </row>
    <row r="108" spans="1:2" x14ac:dyDescent="0.25">
      <c r="A108" s="6">
        <v>45382</v>
      </c>
      <c r="B108" s="9">
        <v>7309084994</v>
      </c>
    </row>
    <row r="109" spans="1:2" x14ac:dyDescent="0.25">
      <c r="A109" s="6">
        <v>45473</v>
      </c>
      <c r="B109" s="9">
        <v>13076152982</v>
      </c>
    </row>
    <row r="110" spans="1:2" x14ac:dyDescent="0.25">
      <c r="A110" s="6">
        <v>45565</v>
      </c>
      <c r="B110" s="9">
        <v>9752432683</v>
      </c>
    </row>
    <row r="111" spans="1:2" x14ac:dyDescent="0.25">
      <c r="A111" s="6">
        <v>45657</v>
      </c>
      <c r="B111" s="9">
        <v>14186610709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C36"/>
  <sheetViews>
    <sheetView topLeftCell="A4" workbookViewId="0">
      <selection activeCell="A5" sqref="A5"/>
    </sheetView>
  </sheetViews>
  <sheetFormatPr defaultRowHeight="15" x14ac:dyDescent="0.25"/>
  <cols>
    <col min="1" max="1" width="18.140625" customWidth="1"/>
    <col min="2" max="2" width="16.28515625" customWidth="1"/>
    <col min="3" max="4" width="12" customWidth="1"/>
    <col min="5" max="12" width="11" customWidth="1"/>
    <col min="13" max="13" width="12" customWidth="1"/>
    <col min="14" max="14" width="12" bestFit="1" customWidth="1"/>
    <col min="15" max="33" width="12" customWidth="1"/>
    <col min="34" max="34" width="14.140625" bestFit="1" customWidth="1"/>
    <col min="35" max="35" width="13" bestFit="1" customWidth="1"/>
    <col min="36" max="46" width="11" customWidth="1"/>
    <col min="47" max="65" width="12" bestFit="1" customWidth="1"/>
    <col min="66" max="66" width="12" customWidth="1"/>
    <col min="67" max="67" width="16.140625" bestFit="1" customWidth="1"/>
    <col min="68" max="68" width="11.28515625" customWidth="1"/>
    <col min="69" max="98" width="12" bestFit="1" customWidth="1"/>
    <col min="99" max="99" width="14.140625" bestFit="1" customWidth="1"/>
    <col min="100" max="131" width="12" bestFit="1" customWidth="1"/>
    <col min="132" max="132" width="14.140625" bestFit="1" customWidth="1"/>
    <col min="133" max="164" width="13" bestFit="1" customWidth="1"/>
    <col min="165" max="165" width="16.140625" bestFit="1" customWidth="1"/>
    <col min="166" max="197" width="19.28515625" bestFit="1" customWidth="1"/>
    <col min="198" max="198" width="22.42578125" bestFit="1" customWidth="1"/>
    <col min="199" max="230" width="22.7109375" bestFit="1" customWidth="1"/>
    <col min="231" max="231" width="26" bestFit="1" customWidth="1"/>
    <col min="232" max="263" width="13.7109375" bestFit="1" customWidth="1"/>
    <col min="264" max="264" width="16.85546875" bestFit="1" customWidth="1"/>
    <col min="265" max="296" width="13" bestFit="1" customWidth="1"/>
    <col min="297" max="297" width="16.140625" bestFit="1" customWidth="1"/>
    <col min="298" max="329" width="12" bestFit="1" customWidth="1"/>
    <col min="330" max="330" width="11.7109375" bestFit="1" customWidth="1"/>
    <col min="331" max="362" width="13.5703125" bestFit="1" customWidth="1"/>
    <col min="363" max="363" width="16.7109375" bestFit="1" customWidth="1"/>
    <col min="364" max="395" width="16.85546875" bestFit="1" customWidth="1"/>
    <col min="396" max="396" width="20" bestFit="1" customWidth="1"/>
    <col min="397" max="397" width="11.28515625" bestFit="1" customWidth="1"/>
  </cols>
  <sheetData>
    <row r="3" spans="1:3" x14ac:dyDescent="0.25">
      <c r="A3" s="2" t="s">
        <v>32</v>
      </c>
      <c r="B3" s="2" t="s">
        <v>22</v>
      </c>
    </row>
    <row r="4" spans="1:3" x14ac:dyDescent="0.25">
      <c r="A4" s="2" t="s">
        <v>30</v>
      </c>
      <c r="B4" t="s">
        <v>13</v>
      </c>
      <c r="C4" t="s">
        <v>20</v>
      </c>
    </row>
    <row r="5" spans="1:3" x14ac:dyDescent="0.25">
      <c r="A5" s="7">
        <v>42825</v>
      </c>
      <c r="B5">
        <v>1081539894</v>
      </c>
      <c r="C5">
        <v>440184439.5</v>
      </c>
    </row>
    <row r="6" spans="1:3" x14ac:dyDescent="0.25">
      <c r="A6" s="7">
        <v>42916</v>
      </c>
      <c r="B6">
        <v>526461438.30000001</v>
      </c>
      <c r="C6">
        <v>1069672005</v>
      </c>
    </row>
    <row r="7" spans="1:3" x14ac:dyDescent="0.25">
      <c r="A7" s="7">
        <v>43008</v>
      </c>
      <c r="B7">
        <v>1856672009</v>
      </c>
      <c r="C7">
        <v>1113020766</v>
      </c>
    </row>
    <row r="8" spans="1:3" x14ac:dyDescent="0.25">
      <c r="A8" s="7">
        <v>43100</v>
      </c>
      <c r="B8">
        <v>960184349.60000002</v>
      </c>
      <c r="C8">
        <v>894091080.29999995</v>
      </c>
    </row>
    <row r="9" spans="1:3" x14ac:dyDescent="0.25">
      <c r="A9" s="7">
        <v>43190</v>
      </c>
      <c r="B9">
        <v>743322627.70000005</v>
      </c>
      <c r="C9">
        <v>1335299860</v>
      </c>
    </row>
    <row r="10" spans="1:3" x14ac:dyDescent="0.25">
      <c r="A10" s="7">
        <v>43281</v>
      </c>
      <c r="B10">
        <v>1167741135</v>
      </c>
      <c r="C10">
        <v>1382170553</v>
      </c>
    </row>
    <row r="11" spans="1:3" x14ac:dyDescent="0.25">
      <c r="A11" s="7">
        <v>43373</v>
      </c>
      <c r="B11">
        <v>430192893.60000002</v>
      </c>
      <c r="C11">
        <v>2139702451</v>
      </c>
    </row>
    <row r="12" spans="1:3" x14ac:dyDescent="0.25">
      <c r="A12" s="7">
        <v>43465</v>
      </c>
      <c r="B12">
        <v>618883604.89999998</v>
      </c>
      <c r="C12">
        <v>939711762.39999998</v>
      </c>
    </row>
    <row r="13" spans="1:3" x14ac:dyDescent="0.25">
      <c r="A13" s="7">
        <v>43555</v>
      </c>
      <c r="B13">
        <v>1022601951</v>
      </c>
      <c r="C13">
        <v>1676027156</v>
      </c>
    </row>
    <row r="14" spans="1:3" x14ac:dyDescent="0.25">
      <c r="A14" s="7">
        <v>43646</v>
      </c>
      <c r="B14">
        <v>782523298.89999998</v>
      </c>
      <c r="C14">
        <v>1857704381</v>
      </c>
    </row>
    <row r="15" spans="1:3" x14ac:dyDescent="0.25">
      <c r="A15" s="7">
        <v>43738</v>
      </c>
      <c r="B15">
        <v>738019784.60000002</v>
      </c>
      <c r="C15">
        <v>738896491.20000005</v>
      </c>
    </row>
    <row r="16" spans="1:3" x14ac:dyDescent="0.25">
      <c r="A16" s="7">
        <v>43830</v>
      </c>
      <c r="B16">
        <v>1144565565</v>
      </c>
      <c r="C16">
        <v>845076735.89999998</v>
      </c>
    </row>
    <row r="17" spans="1:3" x14ac:dyDescent="0.25">
      <c r="A17" s="7">
        <v>43921</v>
      </c>
      <c r="B17">
        <v>1045458883</v>
      </c>
      <c r="C17">
        <v>1358943185</v>
      </c>
    </row>
    <row r="18" spans="1:3" x14ac:dyDescent="0.25">
      <c r="A18" s="7">
        <v>44012</v>
      </c>
      <c r="B18">
        <v>2732548048</v>
      </c>
      <c r="C18">
        <v>920211365.79999995</v>
      </c>
    </row>
    <row r="19" spans="1:3" x14ac:dyDescent="0.25">
      <c r="A19" s="7">
        <v>44104</v>
      </c>
      <c r="B19">
        <v>803442750.39999998</v>
      </c>
      <c r="C19">
        <v>945409918.5</v>
      </c>
    </row>
    <row r="20" spans="1:3" x14ac:dyDescent="0.25">
      <c r="A20" s="7">
        <v>44196</v>
      </c>
      <c r="B20">
        <v>962499322.10000002</v>
      </c>
      <c r="C20">
        <v>1118453310</v>
      </c>
    </row>
    <row r="21" spans="1:3" x14ac:dyDescent="0.25">
      <c r="A21" s="7">
        <v>44286</v>
      </c>
      <c r="B21">
        <v>742678238</v>
      </c>
      <c r="C21">
        <v>1152213820</v>
      </c>
    </row>
    <row r="22" spans="1:3" x14ac:dyDescent="0.25">
      <c r="A22" s="7">
        <v>44377</v>
      </c>
      <c r="B22">
        <v>1571388192</v>
      </c>
      <c r="C22">
        <v>908357933.29999995</v>
      </c>
    </row>
    <row r="23" spans="1:3" x14ac:dyDescent="0.25">
      <c r="A23" s="7">
        <v>44469</v>
      </c>
      <c r="B23">
        <v>1250503703</v>
      </c>
      <c r="C23">
        <v>1033867668</v>
      </c>
    </row>
    <row r="24" spans="1:3" x14ac:dyDescent="0.25">
      <c r="A24" s="7">
        <v>44561</v>
      </c>
      <c r="B24">
        <v>1436804767</v>
      </c>
      <c r="C24">
        <v>1489899027</v>
      </c>
    </row>
    <row r="25" spans="1:3" x14ac:dyDescent="0.25">
      <c r="A25" s="7">
        <v>44651</v>
      </c>
      <c r="B25">
        <v>1123917078</v>
      </c>
      <c r="C25">
        <v>975556879.20000005</v>
      </c>
    </row>
    <row r="26" spans="1:3" x14ac:dyDescent="0.25">
      <c r="A26" s="7">
        <v>44742</v>
      </c>
      <c r="B26">
        <v>1399147461</v>
      </c>
      <c r="C26">
        <v>1224040111</v>
      </c>
    </row>
    <row r="27" spans="1:3" x14ac:dyDescent="0.25">
      <c r="A27" s="7">
        <v>44834</v>
      </c>
      <c r="B27">
        <v>1614997271</v>
      </c>
      <c r="C27">
        <v>1229669587</v>
      </c>
    </row>
    <row r="28" spans="1:3" x14ac:dyDescent="0.25">
      <c r="A28" s="7">
        <v>44926</v>
      </c>
      <c r="B28">
        <v>1093800017</v>
      </c>
      <c r="C28">
        <v>298030924.10000002</v>
      </c>
    </row>
    <row r="29" spans="1:3" x14ac:dyDescent="0.25">
      <c r="A29" s="7">
        <v>45016</v>
      </c>
      <c r="B29">
        <v>2009563555</v>
      </c>
      <c r="C29">
        <v>668545569.70000005</v>
      </c>
    </row>
    <row r="30" spans="1:3" x14ac:dyDescent="0.25">
      <c r="A30" s="7">
        <v>45107</v>
      </c>
      <c r="B30">
        <v>1533626886</v>
      </c>
      <c r="C30">
        <v>1226392611</v>
      </c>
    </row>
    <row r="31" spans="1:3" x14ac:dyDescent="0.25">
      <c r="A31" s="7">
        <v>45199</v>
      </c>
      <c r="B31">
        <v>1804875257</v>
      </c>
      <c r="C31">
        <v>1147104411</v>
      </c>
    </row>
    <row r="32" spans="1:3" x14ac:dyDescent="0.25">
      <c r="A32" s="7">
        <v>45291</v>
      </c>
      <c r="B32">
        <v>602960048.5</v>
      </c>
      <c r="C32">
        <v>1419961878</v>
      </c>
    </row>
    <row r="33" spans="1:3" x14ac:dyDescent="0.25">
      <c r="A33" s="7">
        <v>45382</v>
      </c>
      <c r="B33">
        <v>2129654605</v>
      </c>
      <c r="C33">
        <v>744579528.29999995</v>
      </c>
    </row>
    <row r="34" spans="1:3" x14ac:dyDescent="0.25">
      <c r="A34" s="7">
        <v>45473</v>
      </c>
      <c r="B34">
        <v>2182113657</v>
      </c>
      <c r="C34">
        <v>1074145603</v>
      </c>
    </row>
    <row r="35" spans="1:3" x14ac:dyDescent="0.25">
      <c r="A35" s="7">
        <v>45565</v>
      </c>
      <c r="B35">
        <v>2639441820</v>
      </c>
      <c r="C35">
        <v>1241693861</v>
      </c>
    </row>
    <row r="36" spans="1:3" x14ac:dyDescent="0.25">
      <c r="A36" s="7">
        <v>45657</v>
      </c>
      <c r="B36">
        <v>707968936.5</v>
      </c>
      <c r="C36">
        <v>1500333956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9"/>
  <sheetViews>
    <sheetView workbookViewId="0">
      <selection activeCell="G6" sqref="G6"/>
    </sheetView>
  </sheetViews>
  <sheetFormatPr defaultRowHeight="15" x14ac:dyDescent="0.25"/>
  <cols>
    <col min="1" max="1" width="18.28515625" customWidth="1"/>
    <col min="2" max="2" width="16.28515625" customWidth="1"/>
    <col min="3" max="6" width="12" bestFit="1" customWidth="1"/>
    <col min="7" max="7" width="17.42578125" bestFit="1" customWidth="1"/>
    <col min="8" max="8" width="20.85546875" bestFit="1" customWidth="1"/>
    <col min="9" max="12" width="12" bestFit="1" customWidth="1"/>
    <col min="13" max="13" width="15" bestFit="1" customWidth="1"/>
    <col min="14" max="14" width="12" bestFit="1" customWidth="1"/>
  </cols>
  <sheetData>
    <row r="3" spans="1:13" x14ac:dyDescent="0.25">
      <c r="A3" s="2" t="s">
        <v>39</v>
      </c>
      <c r="B3" s="2" t="s">
        <v>22</v>
      </c>
    </row>
    <row r="4" spans="1:13" x14ac:dyDescent="0.25">
      <c r="A4" s="2" t="s">
        <v>30</v>
      </c>
      <c r="B4" t="s">
        <v>12</v>
      </c>
      <c r="C4" t="s">
        <v>14</v>
      </c>
      <c r="D4" t="s">
        <v>18</v>
      </c>
      <c r="E4" t="s">
        <v>13</v>
      </c>
      <c r="F4" t="s">
        <v>16</v>
      </c>
      <c r="G4" t="s">
        <v>19</v>
      </c>
      <c r="H4" t="s">
        <v>15</v>
      </c>
      <c r="I4" t="s">
        <v>21</v>
      </c>
      <c r="J4" t="s">
        <v>20</v>
      </c>
      <c r="K4" t="s">
        <v>17</v>
      </c>
      <c r="L4" t="s">
        <v>11</v>
      </c>
      <c r="M4" t="s">
        <v>10</v>
      </c>
    </row>
    <row r="5" spans="1:13" x14ac:dyDescent="0.25">
      <c r="A5" s="7">
        <v>44286</v>
      </c>
      <c r="B5">
        <v>3.3181586030000001</v>
      </c>
      <c r="C5">
        <v>3.1498234699999998</v>
      </c>
      <c r="D5">
        <v>9.3341670899999993</v>
      </c>
      <c r="E5">
        <v>5.3149620290000001</v>
      </c>
      <c r="F5">
        <v>14.381562089999999</v>
      </c>
      <c r="G5">
        <v>2.1769632410000002</v>
      </c>
      <c r="H5">
        <v>1.7529301310000001</v>
      </c>
      <c r="I5">
        <v>4.814757986</v>
      </c>
      <c r="J5">
        <v>2.7542702719999999</v>
      </c>
      <c r="K5">
        <v>1.733691877</v>
      </c>
      <c r="L5">
        <v>5.2230744260000002</v>
      </c>
      <c r="M5">
        <v>4.010187943</v>
      </c>
    </row>
    <row r="6" spans="1:13" x14ac:dyDescent="0.25">
      <c r="A6" s="7">
        <v>44377</v>
      </c>
      <c r="B6">
        <v>7.8937831459999996</v>
      </c>
      <c r="C6">
        <v>5.1152133160000002</v>
      </c>
      <c r="D6">
        <v>3.1556988549999998</v>
      </c>
      <c r="E6">
        <v>8.0110784020000008</v>
      </c>
      <c r="F6">
        <v>3.0479171840000001</v>
      </c>
      <c r="G6">
        <v>0.98047994500000002</v>
      </c>
      <c r="H6">
        <v>2.1275403750000002</v>
      </c>
      <c r="I6">
        <v>3.7850034730000002</v>
      </c>
      <c r="J6">
        <v>2.620195442</v>
      </c>
      <c r="K6">
        <v>1.519179847</v>
      </c>
      <c r="L6">
        <v>5.6346553659999996</v>
      </c>
      <c r="M6">
        <v>2.3013746089999998</v>
      </c>
    </row>
    <row r="7" spans="1:13" x14ac:dyDescent="0.25">
      <c r="A7" s="7">
        <v>44469</v>
      </c>
      <c r="B7">
        <v>4.3291353639999999</v>
      </c>
      <c r="C7">
        <v>1.384304888</v>
      </c>
      <c r="D7">
        <v>1.6537937890000001</v>
      </c>
      <c r="E7">
        <v>4.7966426020000004</v>
      </c>
      <c r="F7">
        <v>11.02431133</v>
      </c>
      <c r="G7">
        <v>1.7852223490000001</v>
      </c>
      <c r="H7">
        <v>3.0652158489999999</v>
      </c>
      <c r="I7">
        <v>4.4306018729999996</v>
      </c>
      <c r="J7">
        <v>6.5405358309999997</v>
      </c>
      <c r="K7">
        <v>3.8780397280000001</v>
      </c>
      <c r="L7">
        <v>8.6960718319999994</v>
      </c>
      <c r="M7">
        <v>6.5851216199999998</v>
      </c>
    </row>
    <row r="8" spans="1:13" x14ac:dyDescent="0.25">
      <c r="A8" s="7">
        <v>44561</v>
      </c>
      <c r="B8">
        <v>4.8721644749999999</v>
      </c>
      <c r="C8">
        <v>6.4391248709999998</v>
      </c>
      <c r="D8">
        <v>7.872745579</v>
      </c>
      <c r="E8">
        <v>3.5539499399999999</v>
      </c>
      <c r="F8">
        <v>6.2779333629999998</v>
      </c>
      <c r="G8">
        <v>2.4218594119999999</v>
      </c>
      <c r="H8">
        <v>4.2997828599999997</v>
      </c>
      <c r="I8">
        <v>6.6440024600000003</v>
      </c>
      <c r="J8">
        <v>5.3768183069999997</v>
      </c>
      <c r="K8">
        <v>3.3926921860000001</v>
      </c>
      <c r="L8">
        <v>5.0494889230000002</v>
      </c>
      <c r="M8">
        <v>6.6794507620000001</v>
      </c>
    </row>
    <row r="9" spans="1:13" x14ac:dyDescent="0.25">
      <c r="A9" s="7" t="s">
        <v>39</v>
      </c>
      <c r="B9">
        <v>5.1033103969999996</v>
      </c>
      <c r="C9">
        <v>4.0221166362499998</v>
      </c>
      <c r="D9">
        <v>5.50410132825</v>
      </c>
      <c r="E9">
        <v>5.4191582432500001</v>
      </c>
      <c r="F9">
        <v>8.6829309917500002</v>
      </c>
      <c r="G9">
        <v>1.8411312367499999</v>
      </c>
      <c r="H9">
        <v>2.81136730375</v>
      </c>
      <c r="I9">
        <v>4.9185914479999999</v>
      </c>
      <c r="J9">
        <v>4.3229549629999999</v>
      </c>
      <c r="K9">
        <v>2.6309009095000002</v>
      </c>
      <c r="L9">
        <v>6.1508226367500001</v>
      </c>
      <c r="M9">
        <v>4.8940337335000006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B15"/>
  <sheetViews>
    <sheetView workbookViewId="0">
      <selection activeCell="L27" sqref="L27"/>
    </sheetView>
  </sheetViews>
  <sheetFormatPr defaultRowHeight="15" x14ac:dyDescent="0.25"/>
  <cols>
    <col min="1" max="1" width="22.7109375" customWidth="1"/>
    <col min="2" max="2" width="15.5703125" bestFit="1" customWidth="1"/>
  </cols>
  <sheetData>
    <row r="3" spans="1:2" x14ac:dyDescent="0.25">
      <c r="A3" s="2" t="s">
        <v>30</v>
      </c>
      <c r="B3" t="s">
        <v>35</v>
      </c>
    </row>
    <row r="4" spans="1:2" x14ac:dyDescent="0.25">
      <c r="A4" s="4" t="s">
        <v>12</v>
      </c>
      <c r="B4">
        <v>55973722256</v>
      </c>
    </row>
    <row r="5" spans="1:2" x14ac:dyDescent="0.25">
      <c r="A5" s="4" t="s">
        <v>14</v>
      </c>
      <c r="B5">
        <v>62478340119</v>
      </c>
    </row>
    <row r="6" spans="1:2" x14ac:dyDescent="0.25">
      <c r="A6" s="4" t="s">
        <v>18</v>
      </c>
      <c r="B6">
        <v>32624013419</v>
      </c>
    </row>
    <row r="7" spans="1:2" x14ac:dyDescent="0.25">
      <c r="A7" s="4" t="s">
        <v>13</v>
      </c>
      <c r="B7">
        <v>57918366766</v>
      </c>
    </row>
    <row r="8" spans="1:2" x14ac:dyDescent="0.25">
      <c r="A8" s="4" t="s">
        <v>16</v>
      </c>
      <c r="B8">
        <v>58631917149</v>
      </c>
    </row>
    <row r="9" spans="1:2" x14ac:dyDescent="0.25">
      <c r="A9" s="4" t="s">
        <v>19</v>
      </c>
      <c r="B9">
        <v>67125687921</v>
      </c>
    </row>
    <row r="10" spans="1:2" x14ac:dyDescent="0.25">
      <c r="A10" s="4" t="s">
        <v>15</v>
      </c>
      <c r="B10">
        <v>57972391873</v>
      </c>
    </row>
    <row r="11" spans="1:2" x14ac:dyDescent="0.25">
      <c r="A11" s="4" t="s">
        <v>21</v>
      </c>
      <c r="B11">
        <v>69331938281</v>
      </c>
    </row>
    <row r="12" spans="1:2" x14ac:dyDescent="0.25">
      <c r="A12" s="4" t="s">
        <v>20</v>
      </c>
      <c r="B12">
        <v>58050114174</v>
      </c>
    </row>
    <row r="13" spans="1:2" x14ac:dyDescent="0.25">
      <c r="A13" s="4" t="s">
        <v>17</v>
      </c>
      <c r="B13">
        <v>49074660307</v>
      </c>
    </row>
    <row r="14" spans="1:2" x14ac:dyDescent="0.25">
      <c r="A14" s="4" t="s">
        <v>11</v>
      </c>
      <c r="B14">
        <v>44947480163</v>
      </c>
    </row>
    <row r="15" spans="1:2" x14ac:dyDescent="0.25">
      <c r="A15" s="4" t="s">
        <v>10</v>
      </c>
      <c r="B15">
        <v>44324281368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5"/>
  <sheetViews>
    <sheetView workbookViewId="0">
      <selection activeCell="F23" sqref="F23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20.42578125" bestFit="1" customWidth="1"/>
    <col min="4" max="4" width="12" bestFit="1" customWidth="1"/>
    <col min="5" max="5" width="12.7109375" bestFit="1" customWidth="1"/>
  </cols>
  <sheetData>
    <row r="1" spans="1:5" x14ac:dyDescent="0.25">
      <c r="A1" s="2" t="s">
        <v>0</v>
      </c>
      <c r="B1" t="s">
        <v>44</v>
      </c>
    </row>
    <row r="3" spans="1:5" x14ac:dyDescent="0.25">
      <c r="A3" s="2" t="s">
        <v>30</v>
      </c>
      <c r="B3" t="s">
        <v>32</v>
      </c>
      <c r="C3" t="s">
        <v>43</v>
      </c>
    </row>
    <row r="4" spans="1:5" x14ac:dyDescent="0.25">
      <c r="A4" s="7">
        <v>42825</v>
      </c>
      <c r="B4">
        <v>2851122052.5</v>
      </c>
      <c r="C4">
        <v>3.0616966429999999</v>
      </c>
      <c r="D4" s="8" t="s">
        <v>45</v>
      </c>
      <c r="E4">
        <f>CORREL(B4:B35,C4:C35)</f>
        <v>-0.31364750114930734</v>
      </c>
    </row>
    <row r="5" spans="1:5" x14ac:dyDescent="0.25">
      <c r="A5" s="7">
        <v>42916</v>
      </c>
      <c r="B5">
        <v>2318214433.9000001</v>
      </c>
      <c r="C5">
        <v>2.9256298190000001</v>
      </c>
    </row>
    <row r="6" spans="1:5" x14ac:dyDescent="0.25">
      <c r="A6" s="7">
        <v>43008</v>
      </c>
      <c r="B6">
        <v>5232859076</v>
      </c>
      <c r="C6">
        <v>2.5968029929999998</v>
      </c>
    </row>
    <row r="7" spans="1:5" x14ac:dyDescent="0.25">
      <c r="A7" s="7">
        <v>43100</v>
      </c>
      <c r="B7">
        <v>2371165248.2999997</v>
      </c>
      <c r="C7">
        <v>2.3675701419999999</v>
      </c>
    </row>
    <row r="8" spans="1:5" x14ac:dyDescent="0.25">
      <c r="A8" s="7">
        <v>43190</v>
      </c>
      <c r="B8">
        <v>3370041500.6999998</v>
      </c>
      <c r="C8">
        <v>6.0054929719999999</v>
      </c>
    </row>
    <row r="9" spans="1:5" x14ac:dyDescent="0.25">
      <c r="A9" s="7">
        <v>43281</v>
      </c>
      <c r="B9">
        <v>3223927085.4000001</v>
      </c>
      <c r="C9">
        <v>2.361872456</v>
      </c>
    </row>
    <row r="10" spans="1:5" x14ac:dyDescent="0.25">
      <c r="A10" s="7">
        <v>43373</v>
      </c>
      <c r="B10">
        <v>4228091475.5999999</v>
      </c>
      <c r="C10">
        <v>4.2227483059999997</v>
      </c>
    </row>
    <row r="11" spans="1:5" x14ac:dyDescent="0.25">
      <c r="A11" s="7">
        <v>43465</v>
      </c>
      <c r="B11">
        <v>2855019165.3000002</v>
      </c>
      <c r="C11">
        <v>3.2099259519999999</v>
      </c>
    </row>
    <row r="12" spans="1:5" x14ac:dyDescent="0.25">
      <c r="A12" s="7">
        <v>43555</v>
      </c>
      <c r="B12">
        <v>4137227590</v>
      </c>
      <c r="C12">
        <v>2.295197366</v>
      </c>
    </row>
    <row r="13" spans="1:5" x14ac:dyDescent="0.25">
      <c r="A13" s="7">
        <v>43646</v>
      </c>
      <c r="B13">
        <v>3951312602.9000001</v>
      </c>
      <c r="C13">
        <v>3.8857067410000004</v>
      </c>
    </row>
    <row r="14" spans="1:5" x14ac:dyDescent="0.25">
      <c r="A14" s="7">
        <v>43738</v>
      </c>
      <c r="B14">
        <v>2783211185.8000002</v>
      </c>
      <c r="C14">
        <v>4.2898413419999999</v>
      </c>
    </row>
    <row r="15" spans="1:5" x14ac:dyDescent="0.25">
      <c r="A15" s="7">
        <v>43830</v>
      </c>
      <c r="B15">
        <v>3749904275.9000001</v>
      </c>
      <c r="C15">
        <v>3.6126876399999999</v>
      </c>
    </row>
    <row r="16" spans="1:5" x14ac:dyDescent="0.25">
      <c r="A16" s="7">
        <v>43921</v>
      </c>
      <c r="B16">
        <v>4148172490</v>
      </c>
      <c r="C16">
        <v>4.8410080560000006</v>
      </c>
    </row>
    <row r="17" spans="1:3" x14ac:dyDescent="0.25">
      <c r="A17" s="7">
        <v>44012</v>
      </c>
      <c r="B17">
        <v>4163908592.6999998</v>
      </c>
      <c r="C17">
        <v>2.0243515790000002</v>
      </c>
    </row>
    <row r="18" spans="1:3" x14ac:dyDescent="0.25">
      <c r="A18" s="7">
        <v>44104</v>
      </c>
      <c r="B18">
        <v>3403792610.9000001</v>
      </c>
      <c r="C18">
        <v>3.5033028579999996</v>
      </c>
    </row>
    <row r="19" spans="1:3" x14ac:dyDescent="0.25">
      <c r="A19" s="7">
        <v>44196</v>
      </c>
      <c r="B19">
        <v>2956609234.5999999</v>
      </c>
      <c r="C19">
        <v>4.4445805939999996</v>
      </c>
    </row>
    <row r="20" spans="1:3" x14ac:dyDescent="0.25">
      <c r="A20" s="7">
        <v>44286</v>
      </c>
      <c r="B20">
        <v>3032206291</v>
      </c>
      <c r="C20">
        <v>4.3343038069999995</v>
      </c>
    </row>
    <row r="21" spans="1:3" x14ac:dyDescent="0.25">
      <c r="A21" s="7">
        <v>44377</v>
      </c>
      <c r="B21">
        <v>3604625068.3000002</v>
      </c>
      <c r="C21">
        <v>2.4159265260000002</v>
      </c>
    </row>
    <row r="22" spans="1:3" x14ac:dyDescent="0.25">
      <c r="A22" s="7">
        <v>44469</v>
      </c>
      <c r="B22">
        <v>3689100815</v>
      </c>
      <c r="C22">
        <v>5.3371553259999995</v>
      </c>
    </row>
    <row r="23" spans="1:3" x14ac:dyDescent="0.25">
      <c r="A23" s="7">
        <v>44561</v>
      </c>
      <c r="B23">
        <v>4636666613</v>
      </c>
      <c r="C23">
        <v>1.930597039</v>
      </c>
    </row>
    <row r="24" spans="1:3" x14ac:dyDescent="0.25">
      <c r="A24" s="7">
        <v>44651</v>
      </c>
      <c r="B24">
        <v>4566760411.1999998</v>
      </c>
      <c r="C24">
        <v>3.4160626839999999</v>
      </c>
    </row>
    <row r="25" spans="1:3" x14ac:dyDescent="0.25">
      <c r="A25" s="7">
        <v>44742</v>
      </c>
      <c r="B25">
        <v>4101972375</v>
      </c>
      <c r="C25">
        <v>3.0003545460000001</v>
      </c>
    </row>
    <row r="26" spans="1:3" x14ac:dyDescent="0.25">
      <c r="A26" s="7">
        <v>44834</v>
      </c>
      <c r="B26">
        <v>3733894380</v>
      </c>
      <c r="C26">
        <v>4.6312228200000005</v>
      </c>
    </row>
    <row r="27" spans="1:3" x14ac:dyDescent="0.25">
      <c r="A27" s="7">
        <v>44926</v>
      </c>
      <c r="B27">
        <v>1978998984.5</v>
      </c>
      <c r="C27">
        <v>5.5669567640000004</v>
      </c>
    </row>
    <row r="28" spans="1:3" x14ac:dyDescent="0.25">
      <c r="A28" s="7">
        <v>45016</v>
      </c>
      <c r="B28">
        <v>3800687752.6999998</v>
      </c>
      <c r="C28">
        <v>5.2785677730000007</v>
      </c>
    </row>
    <row r="29" spans="1:3" x14ac:dyDescent="0.25">
      <c r="A29" s="7">
        <v>45107</v>
      </c>
      <c r="B29">
        <v>4422707990</v>
      </c>
      <c r="C29">
        <v>5.1454809890000002</v>
      </c>
    </row>
    <row r="30" spans="1:3" x14ac:dyDescent="0.25">
      <c r="A30" s="7">
        <v>45199</v>
      </c>
      <c r="B30">
        <v>4629646830</v>
      </c>
      <c r="C30">
        <v>1.8696520910000001</v>
      </c>
    </row>
    <row r="31" spans="1:3" x14ac:dyDescent="0.25">
      <c r="A31" s="7">
        <v>45291</v>
      </c>
      <c r="B31">
        <v>3503971480.5</v>
      </c>
      <c r="C31">
        <v>2.5341056599999998</v>
      </c>
    </row>
    <row r="32" spans="1:3" x14ac:dyDescent="0.25">
      <c r="A32" s="7">
        <v>45382</v>
      </c>
      <c r="B32">
        <v>3913568713.3000002</v>
      </c>
      <c r="C32">
        <v>3.3669974839999997</v>
      </c>
    </row>
    <row r="33" spans="1:3" x14ac:dyDescent="0.25">
      <c r="A33" s="7">
        <v>45473</v>
      </c>
      <c r="B33">
        <v>4782670006</v>
      </c>
      <c r="C33">
        <v>1.767011755</v>
      </c>
    </row>
    <row r="34" spans="1:3" x14ac:dyDescent="0.25">
      <c r="A34" s="7">
        <v>45565</v>
      </c>
      <c r="B34">
        <v>4851726099.5</v>
      </c>
      <c r="C34">
        <v>2.4770100790000003</v>
      </c>
    </row>
    <row r="35" spans="1:3" x14ac:dyDescent="0.25">
      <c r="A35" s="7">
        <v>45657</v>
      </c>
      <c r="B35">
        <v>4315426654.5</v>
      </c>
      <c r="C35">
        <v>3.0175936610000003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B14"/>
  <sheetViews>
    <sheetView workbookViewId="0">
      <selection activeCell="A20" sqref="A20"/>
    </sheetView>
  </sheetViews>
  <sheetFormatPr defaultRowHeight="15" x14ac:dyDescent="0.25"/>
  <cols>
    <col min="1" max="1" width="22.7109375" customWidth="1"/>
    <col min="2" max="2" width="18.140625" bestFit="1" customWidth="1"/>
    <col min="3" max="32" width="16.28515625" bestFit="1" customWidth="1"/>
    <col min="33" max="33" width="11.28515625" bestFit="1" customWidth="1"/>
  </cols>
  <sheetData>
    <row r="3" spans="1:2" x14ac:dyDescent="0.25">
      <c r="A3" s="2" t="s">
        <v>30</v>
      </c>
      <c r="B3" t="s">
        <v>32</v>
      </c>
    </row>
    <row r="4" spans="1:2" x14ac:dyDescent="0.25">
      <c r="A4" s="4" t="s">
        <v>19</v>
      </c>
      <c r="B4">
        <v>7609639358.8999996</v>
      </c>
    </row>
    <row r="5" spans="1:2" x14ac:dyDescent="0.25">
      <c r="A5" s="6">
        <v>45382</v>
      </c>
      <c r="B5">
        <v>2333015849</v>
      </c>
    </row>
    <row r="6" spans="1:2" x14ac:dyDescent="0.25">
      <c r="A6" s="6">
        <v>45473</v>
      </c>
      <c r="B6">
        <v>729847876.89999998</v>
      </c>
    </row>
    <row r="7" spans="1:2" x14ac:dyDescent="0.25">
      <c r="A7" s="6">
        <v>45565</v>
      </c>
      <c r="B7">
        <v>2323022170</v>
      </c>
    </row>
    <row r="8" spans="1:2" x14ac:dyDescent="0.25">
      <c r="A8" s="6">
        <v>45657</v>
      </c>
      <c r="B8">
        <v>2223753463</v>
      </c>
    </row>
    <row r="9" spans="1:2" x14ac:dyDescent="0.25">
      <c r="A9" s="4" t="s">
        <v>15</v>
      </c>
      <c r="B9">
        <v>5952878519.6999998</v>
      </c>
    </row>
    <row r="10" spans="1:2" x14ac:dyDescent="0.25">
      <c r="A10" s="6">
        <v>45382</v>
      </c>
      <c r="B10">
        <v>1007117429</v>
      </c>
    </row>
    <row r="11" spans="1:2" x14ac:dyDescent="0.25">
      <c r="A11" s="6">
        <v>45473</v>
      </c>
      <c r="B11">
        <v>1238976660</v>
      </c>
    </row>
    <row r="12" spans="1:2" x14ac:dyDescent="0.25">
      <c r="A12" s="6">
        <v>45565</v>
      </c>
      <c r="B12">
        <v>872767531.70000005</v>
      </c>
    </row>
    <row r="13" spans="1:2" x14ac:dyDescent="0.25">
      <c r="A13" s="6">
        <v>45657</v>
      </c>
      <c r="B13">
        <v>2834016899</v>
      </c>
    </row>
    <row r="14" spans="1:2" x14ac:dyDescent="0.25">
      <c r="A14" s="4" t="s">
        <v>42</v>
      </c>
      <c r="B14">
        <v>13562517878.6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Data</vt:lpstr>
      <vt:lpstr>QUESTIONS</vt:lpstr>
      <vt:lpstr>Q1 ANS</vt:lpstr>
      <vt:lpstr>Q2 ANS</vt:lpstr>
      <vt:lpstr>Q3 ANS</vt:lpstr>
      <vt:lpstr>Q4 ANS</vt:lpstr>
      <vt:lpstr>Q5 ANS</vt:lpstr>
      <vt:lpstr>Q6 ANS</vt:lpstr>
      <vt:lpstr>Q7 ANS</vt:lpstr>
      <vt:lpstr>Q8 ANS</vt:lpstr>
      <vt:lpstr>Q9 ANS</vt:lpstr>
      <vt:lpstr>Q10 ANS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CSEian</dc:creator>
  <cp:lastModifiedBy>ASAD</cp:lastModifiedBy>
  <dcterms:created xsi:type="dcterms:W3CDTF">2015-06-05T18:17:20Z</dcterms:created>
  <dcterms:modified xsi:type="dcterms:W3CDTF">2024-12-06T06:12:41Z</dcterms:modified>
</cp:coreProperties>
</file>